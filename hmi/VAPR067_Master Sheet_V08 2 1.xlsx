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-SCADA2\OneDrive - Cybernetik Technologies Pvt Ltd\2025\VAPR067_MP_Plate-Printing_marking\"/>
    </mc:Choice>
  </mc:AlternateContent>
  <bookViews>
    <workbookView xWindow="0" yWindow="0" windowWidth="18390" windowHeight="3885" tabRatio="883" activeTab="5"/>
  </bookViews>
  <sheets>
    <sheet name="Electrical Load_Frame-1" sheetId="11" r:id="rId1"/>
    <sheet name="Electrical Load_Frame-2" sheetId="12" r:id="rId2"/>
    <sheet name="Network" sheetId="10" r:id="rId3"/>
    <sheet name="Frame-1 IO" sheetId="13" r:id="rId4"/>
    <sheet name="Frame-2 IO" sheetId="14" r:id="rId5"/>
    <sheet name="Device" sheetId="16" r:id="rId6"/>
    <sheet name="Alarms" sheetId="17" r:id="rId7"/>
    <sheet name="Sheet3" sheetId="1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3" i="17" l="1"/>
  <c r="H231" i="17"/>
  <c r="H218" i="17"/>
  <c r="H202" i="17"/>
  <c r="H201" i="17"/>
  <c r="H195" i="17"/>
  <c r="H163" i="17"/>
  <c r="H57" i="17" l="1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6" i="17"/>
  <c r="H197" i="17"/>
  <c r="H198" i="17"/>
  <c r="H199" i="17"/>
  <c r="H200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2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G120" i="13" l="1"/>
  <c r="G79" i="13" l="1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49" i="14"/>
  <c r="H56" i="17" l="1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H4" i="17"/>
  <c r="I67" i="16"/>
  <c r="I66" i="16"/>
  <c r="I65" i="16"/>
  <c r="I64" i="16"/>
  <c r="I63" i="16"/>
  <c r="I62" i="16"/>
  <c r="I61" i="16"/>
  <c r="I60" i="16"/>
  <c r="I59" i="16"/>
  <c r="I58" i="16"/>
  <c r="I57" i="16"/>
  <c r="I56" i="16"/>
  <c r="I55" i="16"/>
  <c r="I54" i="16"/>
  <c r="I53" i="16"/>
  <c r="I52" i="16"/>
  <c r="I51" i="16"/>
  <c r="I50" i="16"/>
  <c r="I49" i="16"/>
  <c r="I48" i="16"/>
  <c r="I47" i="16"/>
  <c r="I46" i="16"/>
  <c r="I45" i="16"/>
  <c r="I44" i="16"/>
  <c r="I43" i="16"/>
  <c r="I42" i="16"/>
  <c r="I41" i="16"/>
  <c r="I40" i="16"/>
  <c r="I39" i="16"/>
  <c r="I38" i="16"/>
  <c r="I37" i="16"/>
  <c r="I36" i="16"/>
  <c r="I35" i="16"/>
  <c r="I34" i="16"/>
  <c r="I30" i="16"/>
  <c r="I29" i="16"/>
  <c r="H19" i="12" l="1"/>
  <c r="H29" i="11"/>
  <c r="H30" i="11"/>
  <c r="H31" i="11"/>
  <c r="H28" i="11"/>
  <c r="H41" i="11"/>
  <c r="H42" i="11"/>
  <c r="I42" i="11" s="1"/>
  <c r="H43" i="11"/>
  <c r="J43" i="11" s="1"/>
  <c r="K43" i="11" s="1"/>
  <c r="H40" i="11"/>
  <c r="J40" i="11" s="1"/>
  <c r="K40" i="11" s="1"/>
  <c r="J41" i="11"/>
  <c r="K41" i="11" s="1"/>
  <c r="J42" i="11"/>
  <c r="K42" i="11" s="1"/>
  <c r="I41" i="11"/>
  <c r="O33" i="14"/>
  <c r="O32" i="14"/>
  <c r="O31" i="14"/>
  <c r="O38" i="14"/>
  <c r="O37" i="14"/>
  <c r="O36" i="14"/>
  <c r="O35" i="14"/>
  <c r="O34" i="14"/>
  <c r="G33" i="14"/>
  <c r="G34" i="14"/>
  <c r="G35" i="14"/>
  <c r="G36" i="14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46" i="14"/>
  <c r="G45" i="14"/>
  <c r="G44" i="14"/>
  <c r="G43" i="14"/>
  <c r="G42" i="14"/>
  <c r="G41" i="14"/>
  <c r="G40" i="14"/>
  <c r="G39" i="14"/>
  <c r="G38" i="14"/>
  <c r="G37" i="14"/>
  <c r="G32" i="14"/>
  <c r="G31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37" i="13"/>
  <c r="G38" i="13"/>
  <c r="G25" i="14"/>
  <c r="G26" i="14"/>
  <c r="G27" i="14"/>
  <c r="G28" i="14"/>
  <c r="G29" i="14"/>
  <c r="G19" i="13"/>
  <c r="G20" i="13"/>
  <c r="O8" i="14"/>
  <c r="O7" i="14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G30" i="14"/>
  <c r="G24" i="14"/>
  <c r="G23" i="14"/>
  <c r="O22" i="14"/>
  <c r="G22" i="14"/>
  <c r="O21" i="14"/>
  <c r="G21" i="14"/>
  <c r="O20" i="14"/>
  <c r="G20" i="14"/>
  <c r="O19" i="14"/>
  <c r="G19" i="14"/>
  <c r="G18" i="14"/>
  <c r="G17" i="14"/>
  <c r="O18" i="14"/>
  <c r="G16" i="14"/>
  <c r="O17" i="14"/>
  <c r="G15" i="14"/>
  <c r="O16" i="14"/>
  <c r="G14" i="14"/>
  <c r="O15" i="14"/>
  <c r="G13" i="14"/>
  <c r="O14" i="14"/>
  <c r="G12" i="14"/>
  <c r="O13" i="14"/>
  <c r="G11" i="14"/>
  <c r="O12" i="14"/>
  <c r="G10" i="14"/>
  <c r="O11" i="14"/>
  <c r="G9" i="14"/>
  <c r="O10" i="14"/>
  <c r="G8" i="14"/>
  <c r="O9" i="14"/>
  <c r="G7" i="14"/>
  <c r="O21" i="13"/>
  <c r="O22" i="13"/>
  <c r="G9" i="13"/>
  <c r="G10" i="13"/>
  <c r="G11" i="13"/>
  <c r="G12" i="13"/>
  <c r="G13" i="13"/>
  <c r="G14" i="13"/>
  <c r="G15" i="13"/>
  <c r="G16" i="13"/>
  <c r="G17" i="13"/>
  <c r="G18" i="13"/>
  <c r="G21" i="13"/>
  <c r="G22" i="13"/>
  <c r="G76" i="13"/>
  <c r="G75" i="13"/>
  <c r="G74" i="13"/>
  <c r="G73" i="13"/>
  <c r="O108" i="13"/>
  <c r="O107" i="13"/>
  <c r="O106" i="13"/>
  <c r="O105" i="13"/>
  <c r="O104" i="13"/>
  <c r="O103" i="13"/>
  <c r="O102" i="13"/>
  <c r="O101" i="13"/>
  <c r="O100" i="13"/>
  <c r="O99" i="13"/>
  <c r="O98" i="13"/>
  <c r="O97" i="13"/>
  <c r="O96" i="13"/>
  <c r="O95" i="13"/>
  <c r="O94" i="13"/>
  <c r="O93" i="13"/>
  <c r="O92" i="13"/>
  <c r="O91" i="13"/>
  <c r="O90" i="13"/>
  <c r="O89" i="13"/>
  <c r="O88" i="13"/>
  <c r="O87" i="13"/>
  <c r="O86" i="13"/>
  <c r="O85" i="13"/>
  <c r="O84" i="13"/>
  <c r="O83" i="13"/>
  <c r="O82" i="13"/>
  <c r="O81" i="13"/>
  <c r="O80" i="13"/>
  <c r="O79" i="13"/>
  <c r="G36" i="13"/>
  <c r="G35" i="13"/>
  <c r="G34" i="13"/>
  <c r="G33" i="13"/>
  <c r="G32" i="13"/>
  <c r="G31" i="13"/>
  <c r="O30" i="13"/>
  <c r="G30" i="13"/>
  <c r="O29" i="13"/>
  <c r="G29" i="13"/>
  <c r="O28" i="13"/>
  <c r="G28" i="13"/>
  <c r="O27" i="13"/>
  <c r="G27" i="13"/>
  <c r="O26" i="13"/>
  <c r="G26" i="13"/>
  <c r="O25" i="13"/>
  <c r="G25" i="13"/>
  <c r="O24" i="13"/>
  <c r="G24" i="13"/>
  <c r="O23" i="13"/>
  <c r="G23" i="13"/>
  <c r="G8" i="13"/>
  <c r="G7" i="13"/>
  <c r="I40" i="11" l="1"/>
  <c r="I43" i="11"/>
  <c r="H20" i="11" l="1"/>
  <c r="J20" i="11" s="1"/>
  <c r="I20" i="11" l="1"/>
  <c r="J31" i="11" l="1"/>
  <c r="H32" i="11"/>
  <c r="G32" i="11"/>
  <c r="G25" i="11"/>
  <c r="H22" i="11"/>
  <c r="I22" i="11" s="1"/>
  <c r="H23" i="11"/>
  <c r="I23" i="11" s="1"/>
  <c r="H24" i="11"/>
  <c r="I24" i="11" s="1"/>
  <c r="I31" i="11"/>
  <c r="J22" i="11" l="1"/>
  <c r="J24" i="11"/>
  <c r="J23" i="11"/>
  <c r="G16" i="12" l="1"/>
  <c r="G20" i="12"/>
  <c r="H20" i="12"/>
  <c r="J19" i="12"/>
  <c r="J20" i="12" s="1"/>
  <c r="H15" i="12"/>
  <c r="I15" i="12" s="1"/>
  <c r="H14" i="12"/>
  <c r="I14" i="12" s="1"/>
  <c r="H13" i="12"/>
  <c r="I13" i="12" s="1"/>
  <c r="H12" i="12"/>
  <c r="I12" i="12" s="1"/>
  <c r="I16" i="12" s="1"/>
  <c r="J30" i="11"/>
  <c r="J29" i="11"/>
  <c r="I29" i="11"/>
  <c r="I30" i="11"/>
  <c r="J28" i="11"/>
  <c r="J32" i="11" s="1"/>
  <c r="I28" i="11"/>
  <c r="H44" i="11"/>
  <c r="J44" i="11" s="1"/>
  <c r="H45" i="11"/>
  <c r="J45" i="11" s="1"/>
  <c r="H18" i="11"/>
  <c r="I18" i="11" s="1"/>
  <c r="H19" i="11"/>
  <c r="I19" i="11" s="1"/>
  <c r="H21" i="11"/>
  <c r="I21" i="11" s="1"/>
  <c r="H13" i="11"/>
  <c r="I13" i="11" s="1"/>
  <c r="H14" i="11"/>
  <c r="I14" i="11" s="1"/>
  <c r="H15" i="11"/>
  <c r="I15" i="11" s="1"/>
  <c r="H16" i="11"/>
  <c r="I16" i="11" s="1"/>
  <c r="H17" i="11"/>
  <c r="I17" i="11" s="1"/>
  <c r="I19" i="12"/>
  <c r="I20" i="12" s="1"/>
  <c r="I32" i="11" l="1"/>
  <c r="I45" i="11"/>
  <c r="I44" i="11"/>
  <c r="J19" i="11"/>
  <c r="J21" i="11"/>
  <c r="H16" i="12"/>
  <c r="H2" i="12" s="1"/>
  <c r="J13" i="12"/>
  <c r="J15" i="12"/>
  <c r="J14" i="12"/>
  <c r="J18" i="11"/>
  <c r="J25" i="11" s="1"/>
  <c r="J16" i="12" l="1"/>
  <c r="H5" i="12" l="1"/>
  <c r="H4" i="12"/>
  <c r="H7" i="12" s="1"/>
  <c r="J21" i="12" s="1"/>
  <c r="H3" i="12"/>
  <c r="H6" i="12" s="1"/>
  <c r="I21" i="12" s="1"/>
  <c r="G21" i="12" l="1"/>
  <c r="H21" i="12"/>
  <c r="H46" i="11"/>
  <c r="G46" i="11"/>
  <c r="J36" i="11"/>
  <c r="J46" i="11" s="1"/>
  <c r="I36" i="11"/>
  <c r="I46" i="11" s="1"/>
  <c r="H12" i="11"/>
  <c r="H25" i="11" l="1"/>
  <c r="H2" i="11" s="1"/>
  <c r="I12" i="11"/>
  <c r="I25" i="11" s="1"/>
  <c r="K36" i="11"/>
  <c r="H4" i="11" l="1"/>
  <c r="H7" i="11" s="1"/>
  <c r="J33" i="11" s="1"/>
  <c r="H3" i="11"/>
  <c r="H6" i="11" s="1"/>
  <c r="I33" i="11" s="1"/>
  <c r="H5" i="11"/>
  <c r="H33" i="11" l="1"/>
  <c r="G33" i="11"/>
</calcChain>
</file>

<file path=xl/sharedStrings.xml><?xml version="1.0" encoding="utf-8"?>
<sst xmlns="http://schemas.openxmlformats.org/spreadsheetml/2006/main" count="4262" uniqueCount="1696">
  <si>
    <t>Efficiency</t>
  </si>
  <si>
    <t>CYBERNETIK</t>
  </si>
  <si>
    <t>Power Factor</t>
  </si>
  <si>
    <t>Total KW</t>
  </si>
  <si>
    <t>Line to Line Voltage</t>
  </si>
  <si>
    <t>Total HP</t>
  </si>
  <si>
    <t>Single Phase voltage</t>
  </si>
  <si>
    <t>Total Amp</t>
  </si>
  <si>
    <t>KW to HP Conversion</t>
  </si>
  <si>
    <t>Design Total KW</t>
  </si>
  <si>
    <t>Design Factor</t>
  </si>
  <si>
    <t>Design Total HP</t>
  </si>
  <si>
    <t>KVA to KW Conversion</t>
  </si>
  <si>
    <t>Design Total Amp</t>
  </si>
  <si>
    <t>Robot Supply Transformer</t>
  </si>
  <si>
    <t>CYBERNETIK MACHINE</t>
  </si>
  <si>
    <t>Zone</t>
  </si>
  <si>
    <t>Sr. No</t>
  </si>
  <si>
    <t>Device</t>
  </si>
  <si>
    <t>Name</t>
  </si>
  <si>
    <t>DOL/VFD</t>
  </si>
  <si>
    <t>KW</t>
  </si>
  <si>
    <t>Total (KW)</t>
  </si>
  <si>
    <t>HP</t>
  </si>
  <si>
    <t>Amp</t>
  </si>
  <si>
    <t>Frame-1</t>
  </si>
  <si>
    <t>Tray Pusher Servo 01</t>
  </si>
  <si>
    <t>TPS01</t>
  </si>
  <si>
    <t>C3-SERVO</t>
  </si>
  <si>
    <t>Plate Pusher Servo 01</t>
  </si>
  <si>
    <t>PPS01</t>
  </si>
  <si>
    <t>Plate Guide Servo 01</t>
  </si>
  <si>
    <t>PGS01</t>
  </si>
  <si>
    <t>Tray Pusher Servo 02</t>
  </si>
  <si>
    <t>TPS02</t>
  </si>
  <si>
    <t>Plate Pusher Servo 02</t>
  </si>
  <si>
    <t>PPS02</t>
  </si>
  <si>
    <t>Plate Guide Servo 02</t>
  </si>
  <si>
    <t>PGS02</t>
  </si>
  <si>
    <t>Plate Feeding Conveyor</t>
  </si>
  <si>
    <t>PFC01</t>
  </si>
  <si>
    <t>PF525</t>
  </si>
  <si>
    <t>Tray Feeding Conveyor</t>
  </si>
  <si>
    <t>TFC01</t>
  </si>
  <si>
    <t>Printer Assembly Servo Slide</t>
  </si>
  <si>
    <t>PASS01</t>
  </si>
  <si>
    <t>C5-SERVO</t>
  </si>
  <si>
    <t>Frame-2</t>
  </si>
  <si>
    <t>Tray Insertion Servo Slide</t>
  </si>
  <si>
    <t>TIS01</t>
  </si>
  <si>
    <t>Sealing Conveyor</t>
  </si>
  <si>
    <t>SLC01</t>
  </si>
  <si>
    <t>Vacuum Pump</t>
  </si>
  <si>
    <t>VPM01</t>
  </si>
  <si>
    <t>DOL</t>
  </si>
  <si>
    <t>Bag Heat Sealer (Vacuum Pump + Sealer)</t>
  </si>
  <si>
    <t>BHS01</t>
  </si>
  <si>
    <t>Supply</t>
  </si>
  <si>
    <t>Total</t>
  </si>
  <si>
    <t>Resistive Load</t>
  </si>
  <si>
    <t>KVA</t>
  </si>
  <si>
    <t>Frame-1
Single Phase</t>
  </si>
  <si>
    <t>Tray Transfer ROBOT</t>
  </si>
  <si>
    <t>TTR01</t>
  </si>
  <si>
    <t>Plate Handling ROBOT-1</t>
  </si>
  <si>
    <t>PHR01</t>
  </si>
  <si>
    <t>Plate Handling ROBOT-2</t>
  </si>
  <si>
    <t>PHR02</t>
  </si>
  <si>
    <t>Frame-2
Single Phase</t>
  </si>
  <si>
    <t>Bag Transfer Robot</t>
  </si>
  <si>
    <t>BTR01</t>
  </si>
  <si>
    <t>Total Designed(1.25)</t>
  </si>
  <si>
    <t>UPS Load</t>
  </si>
  <si>
    <t>S Amp</t>
  </si>
  <si>
    <t>Control &amp; Utility</t>
  </si>
  <si>
    <t>Control and Utility UPS</t>
  </si>
  <si>
    <t>UPS</t>
  </si>
  <si>
    <t>(PLC, SCADA PC, I/O)</t>
  </si>
  <si>
    <t>Printer 01 Supply (100 Watt)</t>
  </si>
  <si>
    <t>Printer 02 Supply (100 Watt)</t>
  </si>
  <si>
    <t>Bowl Feeder-1 Bowl Motor</t>
  </si>
  <si>
    <t>Transformer</t>
  </si>
  <si>
    <t>Bowl Feeder-1 Linear Motor</t>
  </si>
  <si>
    <t>Bowl Feeder-2 Bowl Motor</t>
  </si>
  <si>
    <t>Bowl Feeder-2 Linear Motor</t>
  </si>
  <si>
    <t>Frame-1
24 VDC</t>
  </si>
  <si>
    <t>Tray Stacker Servo 01</t>
  </si>
  <si>
    <t>TST01</t>
  </si>
  <si>
    <t>CMMT-ST</t>
  </si>
  <si>
    <t>24VDC/8Amp</t>
  </si>
  <si>
    <t>Use 3phase to 24VDC SMPS as Stepper Motor of 24VDC</t>
  </si>
  <si>
    <t>Tray Stacker Servo 02</t>
  </si>
  <si>
    <t>TST02</t>
  </si>
  <si>
    <t>2 Nodes</t>
  </si>
  <si>
    <t>ROBOT</t>
  </si>
  <si>
    <t>DI</t>
  </si>
  <si>
    <t>DO</t>
  </si>
  <si>
    <t>Sl No</t>
  </si>
  <si>
    <t>Address</t>
  </si>
  <si>
    <t>Space</t>
  </si>
  <si>
    <t>Input Description</t>
  </si>
  <si>
    <t>Area</t>
  </si>
  <si>
    <t>Tag</t>
  </si>
  <si>
    <t>Output Description</t>
  </si>
  <si>
    <t>New</t>
  </si>
  <si>
    <t>DIGITAL INPUT</t>
  </si>
  <si>
    <t>Input Tags</t>
  </si>
  <si>
    <t>DIGITAL OUTPUT</t>
  </si>
  <si>
    <t>Output Tags</t>
  </si>
  <si>
    <t>SDI01</t>
  </si>
  <si>
    <t>_</t>
  </si>
  <si>
    <t>Emergency Stop  @ HMI Panel 1/1</t>
  </si>
  <si>
    <t>E-Stop button</t>
  </si>
  <si>
    <t>F01-ESS1/1</t>
  </si>
  <si>
    <t>SDO01</t>
  </si>
  <si>
    <t>Safety Relay</t>
  </si>
  <si>
    <t>SDI02</t>
  </si>
  <si>
    <t>Emergency Stop  @ HMI Panel 1/2</t>
  </si>
  <si>
    <t>F01-ESS1/2</t>
  </si>
  <si>
    <t>SDO02</t>
  </si>
  <si>
    <t>SDI03</t>
  </si>
  <si>
    <t>Emergency Stop  @ Frame-2 1/1</t>
  </si>
  <si>
    <t>F02-ESS1/1</t>
  </si>
  <si>
    <t>SDO03</t>
  </si>
  <si>
    <t>SDI04</t>
  </si>
  <si>
    <t>Emergency Stop  @ Frame-2 1/2</t>
  </si>
  <si>
    <t>F02-ESS1/2</t>
  </si>
  <si>
    <t>SDO04</t>
  </si>
  <si>
    <t>SDI05</t>
  </si>
  <si>
    <t>Spare DI</t>
  </si>
  <si>
    <t>SDO05</t>
  </si>
  <si>
    <t>SDI06</t>
  </si>
  <si>
    <t>SDO06</t>
  </si>
  <si>
    <t>SDI07</t>
  </si>
  <si>
    <t>SDO07</t>
  </si>
  <si>
    <t>Spare DO</t>
  </si>
  <si>
    <t>SDI08</t>
  </si>
  <si>
    <t>SDO08</t>
  </si>
  <si>
    <t>SDI09</t>
  </si>
  <si>
    <t>Frame-1 Door Switch-1/1</t>
  </si>
  <si>
    <t>Door Switch</t>
  </si>
  <si>
    <t>F01-DSW1/1</t>
  </si>
  <si>
    <t>SDO09</t>
  </si>
  <si>
    <t>Safety Relay +Door Coil</t>
  </si>
  <si>
    <t>SDI10</t>
  </si>
  <si>
    <t>Frame-1 Door Switch-1/2</t>
  </si>
  <si>
    <t>F01-DSW1/2</t>
  </si>
  <si>
    <t>SDO10</t>
  </si>
  <si>
    <t>SDI11</t>
  </si>
  <si>
    <t>Frame-1 Door Switch-2/1</t>
  </si>
  <si>
    <t>F01-DSW2/1</t>
  </si>
  <si>
    <t>SDO11</t>
  </si>
  <si>
    <t>SDI12</t>
  </si>
  <si>
    <t>Frame-1 Door Switch-2/2</t>
  </si>
  <si>
    <t>F01-DSW2/2</t>
  </si>
  <si>
    <t>SDO12</t>
  </si>
  <si>
    <t>SDI13</t>
  </si>
  <si>
    <t>Frame-1 Door Switch-3/1</t>
  </si>
  <si>
    <t>F01-DSW3/1</t>
  </si>
  <si>
    <t>SDO13</t>
  </si>
  <si>
    <t>SDI14</t>
  </si>
  <si>
    <t>Frame-1 Door Switch-3/2</t>
  </si>
  <si>
    <t>F01-DSW3/2</t>
  </si>
  <si>
    <t>SDO14</t>
  </si>
  <si>
    <t>SDI15</t>
  </si>
  <si>
    <t>F01-DSW4/1</t>
  </si>
  <si>
    <t>SDO15</t>
  </si>
  <si>
    <t>SDI16</t>
  </si>
  <si>
    <t>F01-DSW4/2</t>
  </si>
  <si>
    <t>SDO16</t>
  </si>
  <si>
    <t>SDI17</t>
  </si>
  <si>
    <t>F01-DSW5/1</t>
  </si>
  <si>
    <t>SDI18</t>
  </si>
  <si>
    <t>F01-DSW5/2</t>
  </si>
  <si>
    <t>SDI19</t>
  </si>
  <si>
    <t>SDI20</t>
  </si>
  <si>
    <t>SDI21</t>
  </si>
  <si>
    <t>SDI22</t>
  </si>
  <si>
    <t>SDI23</t>
  </si>
  <si>
    <t>SDI24</t>
  </si>
  <si>
    <t>Frame-2 Door Switch-1/1</t>
  </si>
  <si>
    <t>F02-DSW1/1</t>
  </si>
  <si>
    <t>Frame-2 Door Switch-1/2</t>
  </si>
  <si>
    <t>F02-DSW1/2</t>
  </si>
  <si>
    <t>Frame-2 Door Switch-2/1</t>
  </si>
  <si>
    <t>F02-DSW2/1</t>
  </si>
  <si>
    <t>Frame-2 Door Switch-2/2</t>
  </si>
  <si>
    <t>F02-DSW2/2</t>
  </si>
  <si>
    <t>Frame-2 Door Switch-3/1</t>
  </si>
  <si>
    <t>F02-DSW3/1</t>
  </si>
  <si>
    <t>Frame-2 Door Switch-3/2</t>
  </si>
  <si>
    <t>F02-DSW3/2</t>
  </si>
  <si>
    <t>Frame-2 Door Switch-4/1</t>
  </si>
  <si>
    <t>F02-DSW4/1</t>
  </si>
  <si>
    <t>Frame-2 Door Switch-4/2</t>
  </si>
  <si>
    <t>F02-DSW4/2</t>
  </si>
  <si>
    <t>Frame-2 Door Switch-5/1</t>
  </si>
  <si>
    <t>F02-DSW5/1</t>
  </si>
  <si>
    <t>Frame-2 Door Switch-5/2</t>
  </si>
  <si>
    <t>F02-DSW5/2</t>
  </si>
  <si>
    <t>Frame-2 Door Switch-6/1</t>
  </si>
  <si>
    <t>F02-DSW6/1</t>
  </si>
  <si>
    <t>Frame-2 Door Switch-6/2</t>
  </si>
  <si>
    <t>F02-DSW6/2</t>
  </si>
  <si>
    <t>Tray Stacker Safety Cover Slide Position 01 FB</t>
  </si>
  <si>
    <t>Tray Stacker Safety Cover Slide Position 02 FB</t>
  </si>
  <si>
    <t>DI01</t>
  </si>
  <si>
    <t>System Start PB @ HMI Panel</t>
  </si>
  <si>
    <t>Push Button + Lamp</t>
  </si>
  <si>
    <t>Safe</t>
  </si>
  <si>
    <t>PBL01</t>
  </si>
  <si>
    <t>DO01</t>
  </si>
  <si>
    <t>R:12:O.0</t>
  </si>
  <si>
    <t>Tower Lamp Red @ HMI Panel</t>
  </si>
  <si>
    <t>Tower lamp</t>
  </si>
  <si>
    <t>TL-101/1</t>
  </si>
  <si>
    <t>DI02</t>
  </si>
  <si>
    <t>System Stop PB @ HMI Panel</t>
  </si>
  <si>
    <t>PBL02</t>
  </si>
  <si>
    <t>DO02</t>
  </si>
  <si>
    <t>R:12:O.1</t>
  </si>
  <si>
    <t>Tower Lamp Amber@ HMI Panel</t>
  </si>
  <si>
    <t>TL-101/2</t>
  </si>
  <si>
    <t>DI03</t>
  </si>
  <si>
    <t>System Reset PB  @ HMI Panel</t>
  </si>
  <si>
    <t>PBL03</t>
  </si>
  <si>
    <t>DO03</t>
  </si>
  <si>
    <t>R:12:O.2</t>
  </si>
  <si>
    <t>Tower Lamp Green@ HMI Panel</t>
  </si>
  <si>
    <t>TL-101/3</t>
  </si>
  <si>
    <t>DI04</t>
  </si>
  <si>
    <t>Safety Reset PB @ HMI Panel</t>
  </si>
  <si>
    <t>PBL04</t>
  </si>
  <si>
    <t>DO04</t>
  </si>
  <si>
    <t>R:12:O.3</t>
  </si>
  <si>
    <t>Tower Lamp Buzzer@ HMI Panel</t>
  </si>
  <si>
    <t>TL-101/4</t>
  </si>
  <si>
    <t>DI05</t>
  </si>
  <si>
    <t>Line Monitor Relay Healthy</t>
  </si>
  <si>
    <t>DO05</t>
  </si>
  <si>
    <t>R:12:O.4</t>
  </si>
  <si>
    <t>System Start Lamp</t>
  </si>
  <si>
    <t>Push + Lamp</t>
  </si>
  <si>
    <t>DI06</t>
  </si>
  <si>
    <t>DO06</t>
  </si>
  <si>
    <t>R:12:O.5</t>
  </si>
  <si>
    <t>System Reset Lamp</t>
  </si>
  <si>
    <t>DI07</t>
  </si>
  <si>
    <t>DO07</t>
  </si>
  <si>
    <t>R:12:O.6</t>
  </si>
  <si>
    <t>Safety Reset Lamp</t>
  </si>
  <si>
    <t>DI08</t>
  </si>
  <si>
    <t>Air Pressure Switch</t>
  </si>
  <si>
    <t>Pressure Switch</t>
  </si>
  <si>
    <t>PSW01</t>
  </si>
  <si>
    <t>DO08</t>
  </si>
  <si>
    <t>R:12:O.7</t>
  </si>
  <si>
    <t>Vacuum Pump Enable</t>
  </si>
  <si>
    <t>DI09</t>
  </si>
  <si>
    <t>Tray Pusher Servo 01 Trip Healthy</t>
  </si>
  <si>
    <t>DO09</t>
  </si>
  <si>
    <t>R:13:O.0</t>
  </si>
  <si>
    <t>Contactor</t>
  </si>
  <si>
    <t>BFM01</t>
  </si>
  <si>
    <t>DI10</t>
  </si>
  <si>
    <t>Plate Pusher Servo 01 Trip Healthy</t>
  </si>
  <si>
    <t>DO10</t>
  </si>
  <si>
    <t>R:13:O.1</t>
  </si>
  <si>
    <t>Plate Feeding Machine Start Signal</t>
  </si>
  <si>
    <t>BFM02</t>
  </si>
  <si>
    <t>DI11</t>
  </si>
  <si>
    <t>Plate Guide Servo 01 Trip Healthy</t>
  </si>
  <si>
    <t>DO11</t>
  </si>
  <si>
    <t>R:13:O.2</t>
  </si>
  <si>
    <t>Bowl Feeder 01 Enable Signal</t>
  </si>
  <si>
    <t>DI12</t>
  </si>
  <si>
    <t>Tray Pusher Servo 02 Trip Healthy</t>
  </si>
  <si>
    <t>MPCB Contact</t>
  </si>
  <si>
    <t>DO12</t>
  </si>
  <si>
    <t>R:13:O.3</t>
  </si>
  <si>
    <t>Linear Feeder 01 Enable Signal</t>
  </si>
  <si>
    <t>DI13</t>
  </si>
  <si>
    <t>Plate Pusher Servo 02 Trip Healthy</t>
  </si>
  <si>
    <t>DO13</t>
  </si>
  <si>
    <t>R:13:O.4</t>
  </si>
  <si>
    <t>Linear Feeder 01 High Speed Signal</t>
  </si>
  <si>
    <t>DI14</t>
  </si>
  <si>
    <t>Plate Guide Servo 02 Trip Healthy</t>
  </si>
  <si>
    <t>DO14</t>
  </si>
  <si>
    <t>R:13:O.5</t>
  </si>
  <si>
    <t>Linear Feeder 01 Slow Speed Signal</t>
  </si>
  <si>
    <t>DI15</t>
  </si>
  <si>
    <t>DO15</t>
  </si>
  <si>
    <t>R:13:O.6</t>
  </si>
  <si>
    <t>Bowl Feeder 02 Enable Signal</t>
  </si>
  <si>
    <t>DI16</t>
  </si>
  <si>
    <t>DO16</t>
  </si>
  <si>
    <t>R:13:O.7</t>
  </si>
  <si>
    <t>Linear Feeder 02 Enable Signal</t>
  </si>
  <si>
    <t>DI17</t>
  </si>
  <si>
    <t>Plate Feeding Conveyor Trip Healthy</t>
  </si>
  <si>
    <t>DO17</t>
  </si>
  <si>
    <t>Linear Feeder 02 High Speed Signal</t>
  </si>
  <si>
    <t>DI18</t>
  </si>
  <si>
    <t>Tray Feeding Conveyor Trip Healthy</t>
  </si>
  <si>
    <t>DO18</t>
  </si>
  <si>
    <t>Linear Feeder 02 Slow Speed Signal</t>
  </si>
  <si>
    <t>DI19</t>
  </si>
  <si>
    <t>DO19</t>
  </si>
  <si>
    <t>Printer 01 Head 01 Print Signal</t>
  </si>
  <si>
    <t>DI20</t>
  </si>
  <si>
    <t>DO20</t>
  </si>
  <si>
    <t>Printer 01 Head 02 Print Signal</t>
  </si>
  <si>
    <t>DI21</t>
  </si>
  <si>
    <t>Power Panel Frame 02 Trip Healthy</t>
  </si>
  <si>
    <t>DO21</t>
  </si>
  <si>
    <t>Printer 02 Head 01 Print Signal</t>
  </si>
  <si>
    <t>DI22</t>
  </si>
  <si>
    <t>Tray Insertion Servo Slide Trip Healthy</t>
  </si>
  <si>
    <t>DO22</t>
  </si>
  <si>
    <t>Printer 02 Head 02 Print Signal</t>
  </si>
  <si>
    <t>DI23</t>
  </si>
  <si>
    <t>Sealing Conveyor Trip Healthy</t>
  </si>
  <si>
    <t>DO23</t>
  </si>
  <si>
    <t>DI24</t>
  </si>
  <si>
    <t>Vacuum Pump Trip Healthy</t>
  </si>
  <si>
    <t>DO24</t>
  </si>
  <si>
    <t>DI25</t>
  </si>
  <si>
    <t>Bag Heat Sealer Trip Healthy</t>
  </si>
  <si>
    <t>VB01.DO1</t>
  </si>
  <si>
    <t>VB01.0</t>
  </si>
  <si>
    <t>Plate Handling ROBOT-01 Gripper Open SOV</t>
  </si>
  <si>
    <t>SOV</t>
  </si>
  <si>
    <t>SOV01</t>
  </si>
  <si>
    <t>5/2 Valve</t>
  </si>
  <si>
    <t>DI26</t>
  </si>
  <si>
    <t>Printer Assembly Servo Slide Trip Healthy</t>
  </si>
  <si>
    <t>VB01.DO2</t>
  </si>
  <si>
    <t>VB01.1</t>
  </si>
  <si>
    <t>Plate Handling ROBOT-01 Gripper Close SOV</t>
  </si>
  <si>
    <t>SOV02</t>
  </si>
  <si>
    <t>DI27</t>
  </si>
  <si>
    <t>VB01.DO3</t>
  </si>
  <si>
    <t>VB01.2</t>
  </si>
  <si>
    <t>Tray Side Guide-01 FWD SOV</t>
  </si>
  <si>
    <t>SOV03</t>
  </si>
  <si>
    <t>DI28</t>
  </si>
  <si>
    <t>Plate Feeding Machine Healthy Signal</t>
  </si>
  <si>
    <t>VB01.DO4</t>
  </si>
  <si>
    <t>VB01.3</t>
  </si>
  <si>
    <t>Tray Side Guide-01 REV SOV</t>
  </si>
  <si>
    <t>SOV04</t>
  </si>
  <si>
    <t>DI29</t>
  </si>
  <si>
    <t>Plate Feeding Machine Running Signal</t>
  </si>
  <si>
    <t>VB01.DO5</t>
  </si>
  <si>
    <t>VB01.4</t>
  </si>
  <si>
    <t>Tray Front Guide-01 FWD SOV</t>
  </si>
  <si>
    <t>SOV05</t>
  </si>
  <si>
    <t>DI30</t>
  </si>
  <si>
    <t>VB01.DO6</t>
  </si>
  <si>
    <t>VB01.5</t>
  </si>
  <si>
    <t>Tray Front Guide-01 REV SOV</t>
  </si>
  <si>
    <t>SOV06</t>
  </si>
  <si>
    <t>DI31</t>
  </si>
  <si>
    <t>VB01.DO7</t>
  </si>
  <si>
    <t>VB01.6</t>
  </si>
  <si>
    <t>Tray Stopper-01/1 FWD SOV</t>
  </si>
  <si>
    <t>SOV07</t>
  </si>
  <si>
    <t>DI32</t>
  </si>
  <si>
    <t>VB01.DO8</t>
  </si>
  <si>
    <t>VB01.7</t>
  </si>
  <si>
    <t>Tray Stopper-01/1 Rev SOV</t>
  </si>
  <si>
    <t>SOV08</t>
  </si>
  <si>
    <t>DI33</t>
  </si>
  <si>
    <t>VB01.DO9</t>
  </si>
  <si>
    <t>VB01.8</t>
  </si>
  <si>
    <t>Tray Stopper-01/2 FWD SOV</t>
  </si>
  <si>
    <t>SOV09</t>
  </si>
  <si>
    <t>DI34</t>
  </si>
  <si>
    <t>VB01.DO10</t>
  </si>
  <si>
    <t>VB01.9</t>
  </si>
  <si>
    <t>Tray Stopper-01/2 Rev SOV</t>
  </si>
  <si>
    <t>SOV10</t>
  </si>
  <si>
    <t>DI35</t>
  </si>
  <si>
    <t>VB01.DO11</t>
  </si>
  <si>
    <t>VB01.10</t>
  </si>
  <si>
    <t>Tray Pusher-01 Up SOV</t>
  </si>
  <si>
    <t>SOV11</t>
  </si>
  <si>
    <t>DI36</t>
  </si>
  <si>
    <t>VB01.DO12</t>
  </si>
  <si>
    <t>VB01.11</t>
  </si>
  <si>
    <t>Tray Stopper-01 Dn SOV</t>
  </si>
  <si>
    <t>SOV12</t>
  </si>
  <si>
    <t>DI37</t>
  </si>
  <si>
    <t>VB01.DO13</t>
  </si>
  <si>
    <t>VB01.12</t>
  </si>
  <si>
    <t>DI38</t>
  </si>
  <si>
    <t>VB01.DO14</t>
  </si>
  <si>
    <t>VB01.13</t>
  </si>
  <si>
    <t>DI39</t>
  </si>
  <si>
    <t>VB01.DO15</t>
  </si>
  <si>
    <t>VB01.14</t>
  </si>
  <si>
    <t>Plate Handling ROBOT-02 Gripper Open SOV</t>
  </si>
  <si>
    <t>SOV13</t>
  </si>
  <si>
    <t>DI40</t>
  </si>
  <si>
    <t>VB01.DO16</t>
  </si>
  <si>
    <t>VB01.15</t>
  </si>
  <si>
    <t>Plate Handling ROBOT-02 Gripper Close SOV</t>
  </si>
  <si>
    <t>SOV14</t>
  </si>
  <si>
    <t>DI41</t>
  </si>
  <si>
    <t>Printer 01 Head 01 Healthy Signal</t>
  </si>
  <si>
    <t>VB01.DO17</t>
  </si>
  <si>
    <t>VB01.16</t>
  </si>
  <si>
    <t>Tray Side Guide-02 FWD SOV</t>
  </si>
  <si>
    <t>SOV15</t>
  </si>
  <si>
    <t>DI42</t>
  </si>
  <si>
    <t>Printer 01 Head 02 Healthy Signal</t>
  </si>
  <si>
    <t>VB01.DO18</t>
  </si>
  <si>
    <t>VB01.17</t>
  </si>
  <si>
    <t>Tray Side Guide-02 REV SOV</t>
  </si>
  <si>
    <t>SOV16</t>
  </si>
  <si>
    <t>DI43</t>
  </si>
  <si>
    <t>Printer 01 Head 01 Running Signal</t>
  </si>
  <si>
    <t>VB01.DO19</t>
  </si>
  <si>
    <t>VB01.18</t>
  </si>
  <si>
    <t>Tray Front Guide-02 FWD SOV</t>
  </si>
  <si>
    <t>SOV17</t>
  </si>
  <si>
    <t>DI44</t>
  </si>
  <si>
    <t>Printer 01 Head 02 Running Signal</t>
  </si>
  <si>
    <t>VB01.DO20</t>
  </si>
  <si>
    <t>VB01.19</t>
  </si>
  <si>
    <t>Tray Front Guide-02 REV SOV</t>
  </si>
  <si>
    <t>SOV18</t>
  </si>
  <si>
    <t>DI45</t>
  </si>
  <si>
    <t>Printer 02 Head 01 Healthy Signal</t>
  </si>
  <si>
    <t>VB01.DO21</t>
  </si>
  <si>
    <t>VB01.20</t>
  </si>
  <si>
    <t>Tray Stopper-02/1 FWD SOV</t>
  </si>
  <si>
    <t>SOV19</t>
  </si>
  <si>
    <t>DI46</t>
  </si>
  <si>
    <t>Printer 02 Head 02 Healthy Signal</t>
  </si>
  <si>
    <t>VB01.DO22</t>
  </si>
  <si>
    <t>VB01.21</t>
  </si>
  <si>
    <t>Tray Stopper-02/1 Rev SOV</t>
  </si>
  <si>
    <t>SOV20</t>
  </si>
  <si>
    <t>DI47</t>
  </si>
  <si>
    <t>Printer 02 Head 01 Running Signal</t>
  </si>
  <si>
    <t>VB01.DO23</t>
  </si>
  <si>
    <t>VB01.22</t>
  </si>
  <si>
    <t>Tray Stopper-02/2 FWD SOV</t>
  </si>
  <si>
    <t>SOV21</t>
  </si>
  <si>
    <t>DI48</t>
  </si>
  <si>
    <t>Printer 02 Head 02 Running Signal</t>
  </si>
  <si>
    <t>VB01.DO24</t>
  </si>
  <si>
    <t>VB01.23</t>
  </si>
  <si>
    <t>Tray Stopper-02/2 Rev SOV</t>
  </si>
  <si>
    <t>SOV22</t>
  </si>
  <si>
    <t>Photo Sensor</t>
  </si>
  <si>
    <t>PS01</t>
  </si>
  <si>
    <t>VB01.DO25</t>
  </si>
  <si>
    <t>VB01.24</t>
  </si>
  <si>
    <t>Tray Pusher-02 Up SOV</t>
  </si>
  <si>
    <t>SOV23</t>
  </si>
  <si>
    <t>Plate Infeed Conveyor Exit Sensor</t>
  </si>
  <si>
    <t>PS02</t>
  </si>
  <si>
    <t>VB01.DO26</t>
  </si>
  <si>
    <t>VB01.25</t>
  </si>
  <si>
    <t>Tray Stopper-02 Dn SOV</t>
  </si>
  <si>
    <t>SOV24</t>
  </si>
  <si>
    <t>Plate Diverter Position 01 FB</t>
  </si>
  <si>
    <t>Reed Switch</t>
  </si>
  <si>
    <t>RS01</t>
  </si>
  <si>
    <t>VB01.DO27</t>
  </si>
  <si>
    <t>VB01.26</t>
  </si>
  <si>
    <t>Plate Diverter Position 02 FB</t>
  </si>
  <si>
    <t>RS02</t>
  </si>
  <si>
    <t>VB01.DO28</t>
  </si>
  <si>
    <t>VB01.27</t>
  </si>
  <si>
    <t>PS03</t>
  </si>
  <si>
    <t>VB01.DO29</t>
  </si>
  <si>
    <t>VB01.28</t>
  </si>
  <si>
    <t>Tray Transfer Robot Vacuum  SOV</t>
  </si>
  <si>
    <t>SOV25</t>
  </si>
  <si>
    <t>3/2 Valve</t>
  </si>
  <si>
    <t>PS04</t>
  </si>
  <si>
    <t>VB01.DO30</t>
  </si>
  <si>
    <t>VB01.29</t>
  </si>
  <si>
    <t>VB02.DO1</t>
  </si>
  <si>
    <t>VB02.0</t>
  </si>
  <si>
    <t>Bag Transfer Robot Vacuum  SOV</t>
  </si>
  <si>
    <t>SOV26</t>
  </si>
  <si>
    <t>VB02.DO2</t>
  </si>
  <si>
    <t>VB02.1</t>
  </si>
  <si>
    <t>Bag Opening Swing Arm-1 In SOV</t>
  </si>
  <si>
    <t>SOV27</t>
  </si>
  <si>
    <t>Plate Guide 01 Plate Present Sensor 1</t>
  </si>
  <si>
    <t>PS05</t>
  </si>
  <si>
    <t>VB02.DO3</t>
  </si>
  <si>
    <t>VB02.2</t>
  </si>
  <si>
    <t>Bag Opening Swing Arm-1 Out SOV</t>
  </si>
  <si>
    <t>SOV28</t>
  </si>
  <si>
    <t>Plate Guide 01 Plate Present Sensor 2</t>
  </si>
  <si>
    <t>PS06</t>
  </si>
  <si>
    <t>VB02.DO4</t>
  </si>
  <si>
    <t>VB02.3</t>
  </si>
  <si>
    <t>Bag Opening Swing Arm-2 In SOV</t>
  </si>
  <si>
    <t>SOV29</t>
  </si>
  <si>
    <t>Plate Guide 02 Plate Present Sensor 1</t>
  </si>
  <si>
    <t>RS03</t>
  </si>
  <si>
    <t>VB02.DO5</t>
  </si>
  <si>
    <t>VB02.4</t>
  </si>
  <si>
    <t>Bag Opening Swing Arm-2 Out SOV</t>
  </si>
  <si>
    <t>SOV30</t>
  </si>
  <si>
    <t>Plate Guide 02 Plate Present Sensor 2</t>
  </si>
  <si>
    <t>RS04</t>
  </si>
  <si>
    <t>VB02.DO6</t>
  </si>
  <si>
    <t>VB02.5</t>
  </si>
  <si>
    <t>Bag Opening Vacuum Cup Up SOV</t>
  </si>
  <si>
    <t>SOV31</t>
  </si>
  <si>
    <t>PS07</t>
  </si>
  <si>
    <t>VB02.DO7</t>
  </si>
  <si>
    <t>VB02.6</t>
  </si>
  <si>
    <t>Bag Opening Vacuum Cup Dn SOV</t>
  </si>
  <si>
    <t>SOV32</t>
  </si>
  <si>
    <t>PS08</t>
  </si>
  <si>
    <t>VB02.DO8</t>
  </si>
  <si>
    <t>VB02.7</t>
  </si>
  <si>
    <t>Tray Insertion Servo Slide Pusher Up SOV</t>
  </si>
  <si>
    <t>SOV33</t>
  </si>
  <si>
    <t>VB02.DO9</t>
  </si>
  <si>
    <t>VB02.8</t>
  </si>
  <si>
    <t>Tray Insertion Servo Slide Pusher Dn SOV</t>
  </si>
  <si>
    <t>SOV34</t>
  </si>
  <si>
    <t>VB02.DO10</t>
  </si>
  <si>
    <t>VB02.9</t>
  </si>
  <si>
    <t>Plate Handling ROBOT 01 Gripper Open FB</t>
  </si>
  <si>
    <t>RS05</t>
  </si>
  <si>
    <t>VB02.DO11</t>
  </si>
  <si>
    <t>VB02.10</t>
  </si>
  <si>
    <t>Plate Handling ROBOT 01 Gripper Close FB</t>
  </si>
  <si>
    <t>RS06</t>
  </si>
  <si>
    <t>VB02.DO12</t>
  </si>
  <si>
    <t>VB02.11</t>
  </si>
  <si>
    <t>Sealing Unit Heating Jaw Up SOV</t>
  </si>
  <si>
    <t>SOV35</t>
  </si>
  <si>
    <t>RS07</t>
  </si>
  <si>
    <t>VB02.DO13</t>
  </si>
  <si>
    <t>VB02.12</t>
  </si>
  <si>
    <t>Sealing Unit Heating Jaw Dn SOV</t>
  </si>
  <si>
    <t>SOV36</t>
  </si>
  <si>
    <t>RS08</t>
  </si>
  <si>
    <t>VB02.DO14</t>
  </si>
  <si>
    <t>VB02.13</t>
  </si>
  <si>
    <t>Sealing Unit Vacuum Jaw In SOV</t>
  </si>
  <si>
    <t>SOV37</t>
  </si>
  <si>
    <t>Plate Handling ROBOT 01 Plate Sensor</t>
  </si>
  <si>
    <t>RS09</t>
  </si>
  <si>
    <t>VB02.DO15</t>
  </si>
  <si>
    <t>VB02.14</t>
  </si>
  <si>
    <t>Sealing Unit Vacuum Jaw Out SOV</t>
  </si>
  <si>
    <t>SOV38</t>
  </si>
  <si>
    <t>Tray 01 Side Guide FWD FB</t>
  </si>
  <si>
    <t>RS10</t>
  </si>
  <si>
    <t>VB02.DO16</t>
  </si>
  <si>
    <t>VB02.15</t>
  </si>
  <si>
    <t>Tray 01 Side Guide REV FB</t>
  </si>
  <si>
    <t>RS11</t>
  </si>
  <si>
    <t>VB02.DO17</t>
  </si>
  <si>
    <t>VB02.16</t>
  </si>
  <si>
    <t>Tray 01 Front Guide FWD FB</t>
  </si>
  <si>
    <t>RS12</t>
  </si>
  <si>
    <t>VB02.DO18</t>
  </si>
  <si>
    <t>VB02.17</t>
  </si>
  <si>
    <t>Tray 01 Front Guide REV FB</t>
  </si>
  <si>
    <t>RS13</t>
  </si>
  <si>
    <t>Tray 01 Stopper 01 UP FB</t>
  </si>
  <si>
    <t>RS14</t>
  </si>
  <si>
    <t>Tray 01 Stopper 02 UP FB</t>
  </si>
  <si>
    <t>PS09</t>
  </si>
  <si>
    <t>Tray 01 Pusher UP FB</t>
  </si>
  <si>
    <t>PS10</t>
  </si>
  <si>
    <t>Tray 01 Pusher DOWN FB</t>
  </si>
  <si>
    <t>Tray 01 Present Sensor 01</t>
  </si>
  <si>
    <t>Tray 01 Present Sensor 02</t>
  </si>
  <si>
    <t>Plate Handling ROBOT 02 Gripper Open FB</t>
  </si>
  <si>
    <t>RS15</t>
  </si>
  <si>
    <t>Plate Handling ROBOT 02 Gripper Close FB</t>
  </si>
  <si>
    <t>RS16</t>
  </si>
  <si>
    <t>RS17</t>
  </si>
  <si>
    <t>RS18</t>
  </si>
  <si>
    <t>Plate Handling ROBOT 02 Plate Sensor</t>
  </si>
  <si>
    <t>RS19</t>
  </si>
  <si>
    <t>Tray 02 Side Guide FWD FB</t>
  </si>
  <si>
    <t>RS20</t>
  </si>
  <si>
    <t>Tray 02 Side Guide REV FB</t>
  </si>
  <si>
    <t>RS21</t>
  </si>
  <si>
    <t>Tray 02 Front Guide FWD FB</t>
  </si>
  <si>
    <t>RS22</t>
  </si>
  <si>
    <t>Tray 02 Front Guide REV FB</t>
  </si>
  <si>
    <t>RS23</t>
  </si>
  <si>
    <t>Tray 02 Stopper 01 UP FB</t>
  </si>
  <si>
    <t>RS24</t>
  </si>
  <si>
    <t>Tray 02 Stopper 02 UP FB</t>
  </si>
  <si>
    <t>PS11</t>
  </si>
  <si>
    <t>Tray 02 Pusher UP FB</t>
  </si>
  <si>
    <t>PS12</t>
  </si>
  <si>
    <t>Tray 02 Pusher DOWN FB</t>
  </si>
  <si>
    <t>Tray 02 Present Sensor 01</t>
  </si>
  <si>
    <t>Tray 02 Present Sensor 02</t>
  </si>
  <si>
    <t>Tray Feeding Conveyor Tray 01 Present Sensor 1</t>
  </si>
  <si>
    <t>PS13</t>
  </si>
  <si>
    <t>Tray Feeding Conveyor Tray 01 Present Sensor 2</t>
  </si>
  <si>
    <t>PS14</t>
  </si>
  <si>
    <t>Tray Feeding Conveyor Tray 02 Present Sensor 1</t>
  </si>
  <si>
    <t>PS15</t>
  </si>
  <si>
    <t>Tray Feeding Conveyor Tray 02 Present Sensor 2</t>
  </si>
  <si>
    <t>PS16</t>
  </si>
  <si>
    <t>Tray Feeding Conveyor Buffer Tray Present Sensor 1</t>
  </si>
  <si>
    <t>PS17</t>
  </si>
  <si>
    <t>Tray Feeding Conveyor Buffer Tray Present Sensor 2</t>
  </si>
  <si>
    <t>PS18</t>
  </si>
  <si>
    <t>Tray Feeding Conveyor Exit Tray Present Sensor 1</t>
  </si>
  <si>
    <t>PS19</t>
  </si>
  <si>
    <t>Tray Feeding Conveyor Exit Tray Present Sensor 2</t>
  </si>
  <si>
    <t>PS20</t>
  </si>
  <si>
    <t>Tray Transfer ROBOT Vacuum Pressure Switch-1</t>
  </si>
  <si>
    <t>Tray Feeding Conveyor Rejection Tray Sensor</t>
  </si>
  <si>
    <t>Vacuum Switch</t>
  </si>
  <si>
    <t>VSW01</t>
  </si>
  <si>
    <t>Tray Transfer ROBOT Vacuum Pressure Switch-2</t>
  </si>
  <si>
    <t>Tray Insertion Servo Slide Pusher UP FB</t>
  </si>
  <si>
    <t>VSW02</t>
  </si>
  <si>
    <t>Tray Insertion Servo Slide Pusher DOWN FB</t>
  </si>
  <si>
    <t>PS21</t>
  </si>
  <si>
    <t>Tray Insertion Servo Tray Stopper UP FB</t>
  </si>
  <si>
    <t>PS22</t>
  </si>
  <si>
    <t>Tray Insertion Servo Tray Stopper DOWN FB</t>
  </si>
  <si>
    <t>PS23</t>
  </si>
  <si>
    <t>PS24</t>
  </si>
  <si>
    <t>Bin-1 Bag Present Sensor</t>
  </si>
  <si>
    <t>Bag Present Sensor-1 at Bag Mouth Opening</t>
  </si>
  <si>
    <t>PS25</t>
  </si>
  <si>
    <t>Bin-2 Bag Present Sensor</t>
  </si>
  <si>
    <t>PS26</t>
  </si>
  <si>
    <t>Bag Transfer Robot Vacuum Switch</t>
  </si>
  <si>
    <t>Bag Opening Swing Arm-1 In FB</t>
  </si>
  <si>
    <t>VSW03</t>
  </si>
  <si>
    <t>Bag Opening Swing Arm-1 Out FB</t>
  </si>
  <si>
    <t>Bag Opening Swing Arm-2 In FB</t>
  </si>
  <si>
    <t>PS27</t>
  </si>
  <si>
    <t>Bag Opening Swing Arm-2 Out FB</t>
  </si>
  <si>
    <t>PS28</t>
  </si>
  <si>
    <t>Bag Opening Swing Arm Stretch In FB</t>
  </si>
  <si>
    <t>RS25</t>
  </si>
  <si>
    <t>Bag Opening Swing Arm Stretch Out FB</t>
  </si>
  <si>
    <t>RS26</t>
  </si>
  <si>
    <t>Bag Opening Vacuum Cup Up FB</t>
  </si>
  <si>
    <t>RS27</t>
  </si>
  <si>
    <t>Bag Opening Vacuum Cup Dn FB</t>
  </si>
  <si>
    <t>RS28</t>
  </si>
  <si>
    <t>RS29</t>
  </si>
  <si>
    <t>RS30</t>
  </si>
  <si>
    <t>RS31</t>
  </si>
  <si>
    <t>RS32</t>
  </si>
  <si>
    <t>Bag Transfer Robot Bag Sensor</t>
  </si>
  <si>
    <t>Sealing Unit Job Present Sensor-1</t>
  </si>
  <si>
    <t>Tray Stacker 01 Tray Detection Sensor 01</t>
  </si>
  <si>
    <t>PS29</t>
  </si>
  <si>
    <t>Sealing Unit Job Present Sensor-2</t>
  </si>
  <si>
    <t>Tray Stacker 01 Tray Detection Sensor 02</t>
  </si>
  <si>
    <t>PS30</t>
  </si>
  <si>
    <t>Sealing Unit Heating Jaw Up FB</t>
  </si>
  <si>
    <t>Tray Stacker 01 Tray Centering FWD FB</t>
  </si>
  <si>
    <t>RS33</t>
  </si>
  <si>
    <t>Sealing Unit Heating Jaw Dn FB</t>
  </si>
  <si>
    <t>Tray Stacker 01 Tray Centering REV FB</t>
  </si>
  <si>
    <t>RS34</t>
  </si>
  <si>
    <t>Sealing Unit Vacuum Jaw In FB</t>
  </si>
  <si>
    <t>Tray Stacker 01 Tray Referencing FWD FB</t>
  </si>
  <si>
    <t>RS35</t>
  </si>
  <si>
    <t>Sealing Unit Vacuum Jaw Out FB</t>
  </si>
  <si>
    <t>Tray Stacker 01 Tray Referencing REV FB</t>
  </si>
  <si>
    <t>RS36</t>
  </si>
  <si>
    <t>Tray Stacker 02 Tray Detection Sensor 01</t>
  </si>
  <si>
    <t>Tray Stacker 02 Tray Detection Sensor 02</t>
  </si>
  <si>
    <t>Tray Stacker 02 Tray Centering FWD FB</t>
  </si>
  <si>
    <t>Tray Stacker 02 Tray Centering REV FB</t>
  </si>
  <si>
    <t>PS31</t>
  </si>
  <si>
    <t>Tray Stacker 02 Tray Referencing FWD FB</t>
  </si>
  <si>
    <t>Tray Stacker 02 Tray Referencing REV FB</t>
  </si>
  <si>
    <t>Tray Transfer ROBOT Tray Lifter UP FB</t>
  </si>
  <si>
    <t>Tray Transfer ROBOT Tray Lifter DOWN FB</t>
  </si>
  <si>
    <t>Tray Transfer ROBOT Tray Present Sensor</t>
  </si>
  <si>
    <t>Sealing Conveyor Job Present Entry Sensor</t>
  </si>
  <si>
    <t>Sealing Conveyor Job Present Exit Sensor</t>
  </si>
  <si>
    <t>ANALOG INPUT</t>
  </si>
  <si>
    <t>ANALOG OUTPUT</t>
  </si>
  <si>
    <t>AI01</t>
  </si>
  <si>
    <t>R:14.I.Ch0</t>
  </si>
  <si>
    <t>Spare AI</t>
  </si>
  <si>
    <t>AI02</t>
  </si>
  <si>
    <t>R:14.I.Ch1</t>
  </si>
  <si>
    <t>AI03</t>
  </si>
  <si>
    <t>R:14.I.Ch2</t>
  </si>
  <si>
    <t>AI04</t>
  </si>
  <si>
    <t>R:14.I.Ch3</t>
  </si>
  <si>
    <t>Description</t>
  </si>
  <si>
    <t>R1:I:1.0</t>
  </si>
  <si>
    <t>R1:O:3.0</t>
  </si>
  <si>
    <t>Frame-1 STO Safety Relay On_1/1</t>
  </si>
  <si>
    <t>F01-STO1/1</t>
  </si>
  <si>
    <t>R1:I:1.1</t>
  </si>
  <si>
    <t>R1:O:3.1</t>
  </si>
  <si>
    <t>Frame-1 STO Safety Relay On_1/2</t>
  </si>
  <si>
    <t>F01-STO1/2</t>
  </si>
  <si>
    <t>R1:I:1.2</t>
  </si>
  <si>
    <t>R1:O:3.2</t>
  </si>
  <si>
    <t>Safety Relay and Air Shutoff Valve Healthy 1/1</t>
  </si>
  <si>
    <t>F01-STOA/1</t>
  </si>
  <si>
    <t>R1:I:1.3</t>
  </si>
  <si>
    <t>R1:O:3.3</t>
  </si>
  <si>
    <t>Safety Relay and Air Shutoff Valve Healthy 1/2</t>
  </si>
  <si>
    <t>F01-STOA/2</t>
  </si>
  <si>
    <t>R1:I:1.4</t>
  </si>
  <si>
    <t>R1:O:3.4</t>
  </si>
  <si>
    <t>Frame-1 Robot Auto Stop Relay Healthy 1/1</t>
  </si>
  <si>
    <t>F01-RAS1/1</t>
  </si>
  <si>
    <t>R1:I:1.5</t>
  </si>
  <si>
    <t>R1:O:3.5</t>
  </si>
  <si>
    <t>Frame-1 Robot Auto Stop Relay Healthy 1/2</t>
  </si>
  <si>
    <t>F01-RAS1/2</t>
  </si>
  <si>
    <t>R1:I:1.6</t>
  </si>
  <si>
    <t>R1:O:3.6</t>
  </si>
  <si>
    <t>Frame-1 Robot E-Stop Relay Healthy 1/1</t>
  </si>
  <si>
    <t>F01-RES1/1</t>
  </si>
  <si>
    <t>R1:I:1.7</t>
  </si>
  <si>
    <t>R1:O:3.7</t>
  </si>
  <si>
    <t>Frame-1 Robot E-Stop Relay Healthy 1/2</t>
  </si>
  <si>
    <t>F01-RES1/2</t>
  </si>
  <si>
    <t>R1:I:2.0</t>
  </si>
  <si>
    <t>Frame-1 Tray Door Switch-4/1</t>
  </si>
  <si>
    <t>R1:O:4.0</t>
  </si>
  <si>
    <t>Frame-1 Door Switch Coil-1,2,3/1</t>
  </si>
  <si>
    <t>F01-DSW1,2,3/1</t>
  </si>
  <si>
    <t>R1:I:2.1</t>
  </si>
  <si>
    <t>Frame-1 Tray Door Switch-4/2</t>
  </si>
  <si>
    <t>R1:O:4.1</t>
  </si>
  <si>
    <t>Frame-1 Door Switch Coil-1,2,3/2</t>
  </si>
  <si>
    <t>F01-DSW1,2,3/2</t>
  </si>
  <si>
    <t>R1:I:2.2</t>
  </si>
  <si>
    <t>Frame-1 Tray Door Switch-5/1</t>
  </si>
  <si>
    <t>R1:O:4.2</t>
  </si>
  <si>
    <t>Frame-1 Tray Door Switch Coil-4/1</t>
  </si>
  <si>
    <t>R1:I:2.3</t>
  </si>
  <si>
    <t>Frame-1 Tray Door Switch-5/2</t>
  </si>
  <si>
    <t>R1:O:4.3</t>
  </si>
  <si>
    <t>Frame-1 Tray Door Switch Coil-4/2</t>
  </si>
  <si>
    <t>R1:I:2.4</t>
  </si>
  <si>
    <t>Magnetic Door Switch</t>
  </si>
  <si>
    <t>R1:O:4.4</t>
  </si>
  <si>
    <t>Frame-1 Tray Door Switch Coil-5/1</t>
  </si>
  <si>
    <t>R1:I:2.5</t>
  </si>
  <si>
    <t>R1:O:4.5</t>
  </si>
  <si>
    <t>Frame-1 Tray Door Switch Coil-5/2</t>
  </si>
  <si>
    <t>R1:I:2.6</t>
  </si>
  <si>
    <t>R1:O:4.6</t>
  </si>
  <si>
    <t>R1:I:2.7</t>
  </si>
  <si>
    <t>R1:O:4.7</t>
  </si>
  <si>
    <t>R1:5:I.0</t>
  </si>
  <si>
    <t>R:11:O.0</t>
  </si>
  <si>
    <t>R1:5:I.1</t>
  </si>
  <si>
    <t>R:11:O.1</t>
  </si>
  <si>
    <t>R1:5:I.2</t>
  </si>
  <si>
    <t>R:11:O.2</t>
  </si>
  <si>
    <t>R1:5:I.3</t>
  </si>
  <si>
    <t>R:11:O.3</t>
  </si>
  <si>
    <t>R1:5:I.4</t>
  </si>
  <si>
    <t>R:11:O.4</t>
  </si>
  <si>
    <t>R1:5:I.5</t>
  </si>
  <si>
    <t>R:11:O.5</t>
  </si>
  <si>
    <t>R1:5:I.6</t>
  </si>
  <si>
    <t>R:11:O.6</t>
  </si>
  <si>
    <t>R1:5:I.7</t>
  </si>
  <si>
    <t>R:11:O.7</t>
  </si>
  <si>
    <t>R1:6:I.0</t>
  </si>
  <si>
    <t>R1:6:I.1</t>
  </si>
  <si>
    <t>R1:6:I.2</t>
  </si>
  <si>
    <t>Contact</t>
  </si>
  <si>
    <t>R1:6:I.3</t>
  </si>
  <si>
    <t>R1:6:I.4</t>
  </si>
  <si>
    <t>R1:6:I.5</t>
  </si>
  <si>
    <t>R1:6:I.6</t>
  </si>
  <si>
    <t>R1:6:I.7</t>
  </si>
  <si>
    <t>R1:7:I.0</t>
  </si>
  <si>
    <t>R1:7:I.1</t>
  </si>
  <si>
    <t>R1:7:I.2</t>
  </si>
  <si>
    <t>R1:7:I.3</t>
  </si>
  <si>
    <t>Bowl Feeder Bowl Motor 01 Trip Healthy</t>
  </si>
  <si>
    <t>MCB Healthy</t>
  </si>
  <si>
    <t>R1:7:I.4</t>
  </si>
  <si>
    <t>Bowl Feeder Linear Motor 01 Trip Healthy</t>
  </si>
  <si>
    <t>R1:7:I.5</t>
  </si>
  <si>
    <t>Bowl Feeder Bowl Motor 02 Trip Healthy</t>
  </si>
  <si>
    <t>R1:7:I.6</t>
  </si>
  <si>
    <t>Bowl Feeder Linear Motor 02 Trip Healthy</t>
  </si>
  <si>
    <t>R1:7:I.7</t>
  </si>
  <si>
    <t>Tray Stacker Step Servo-1 Trip Healthy</t>
  </si>
  <si>
    <t>R1:8:I.0</t>
  </si>
  <si>
    <t>Tray Stacker Step Servo-2 Trip Healthy</t>
  </si>
  <si>
    <t>R1:8:I.1</t>
  </si>
  <si>
    <t>Bowl Feeder Bowl Motor 01 Running FB</t>
  </si>
  <si>
    <t>CONTACT</t>
  </si>
  <si>
    <t>R1:8:I.2</t>
  </si>
  <si>
    <t>Bowl Feeder Linear Motor 01 Running FB</t>
  </si>
  <si>
    <t>R1:8:I.3</t>
  </si>
  <si>
    <t>Bowl Feeder Bowl Motor 02 Running FB</t>
  </si>
  <si>
    <t>R1:8:I.4</t>
  </si>
  <si>
    <t>Bowl Feeder Linear Motor 02 Running FB</t>
  </si>
  <si>
    <t>R1:8:I.5</t>
  </si>
  <si>
    <t>R1:8:I.6</t>
  </si>
  <si>
    <t>R1:8:I.7</t>
  </si>
  <si>
    <t>R1:9:I.0</t>
  </si>
  <si>
    <t>R1:9:I.1</t>
  </si>
  <si>
    <t>R1:9:I.2</t>
  </si>
  <si>
    <t>R1:9:I.3</t>
  </si>
  <si>
    <t>R1:9:I.4</t>
  </si>
  <si>
    <t>R1:9:I.5</t>
  </si>
  <si>
    <t>R1:9:I.6</t>
  </si>
  <si>
    <t>R1:9:I.7</t>
  </si>
  <si>
    <t>R1:10:I.0</t>
  </si>
  <si>
    <t>R1:10:I.1</t>
  </si>
  <si>
    <t>R1:10:I.2</t>
  </si>
  <si>
    <t>R1:10:I.3</t>
  </si>
  <si>
    <t>R1:10:I.4</t>
  </si>
  <si>
    <t>R1:10:I.5</t>
  </si>
  <si>
    <t>R1:10:I.6</t>
  </si>
  <si>
    <t>R1:10:I.7</t>
  </si>
  <si>
    <t>Plate Height Detection Sensor-1 Feedback</t>
  </si>
  <si>
    <t>Distance Sensor</t>
  </si>
  <si>
    <t>Plate Height Detection Sensor-2 Feedback</t>
  </si>
  <si>
    <t>FIELD INPUT</t>
  </si>
  <si>
    <t>FIELD OUTPUT</t>
  </si>
  <si>
    <t>Swing</t>
  </si>
  <si>
    <t>Bowl Feeder 01 High Level Sensor</t>
  </si>
  <si>
    <t>Bowl Feeder 02 High Level Sensor</t>
  </si>
  <si>
    <t>Bowl Feeder 01 Linear Feeder Exit Sensor</t>
  </si>
  <si>
    <t>Bowl Feeder 02 Linear Feeder Exit Sensor</t>
  </si>
  <si>
    <t>R2:I:1.0</t>
  </si>
  <si>
    <t>R2:O:4.0</t>
  </si>
  <si>
    <t>Frame-2 STO Safety Relay On_1/1</t>
  </si>
  <si>
    <t>F02-STO1/1</t>
  </si>
  <si>
    <t>R2:I:1.1</t>
  </si>
  <si>
    <t>R2:O:4.1</t>
  </si>
  <si>
    <t>Frame-2 STO Safety Relay On_1/2</t>
  </si>
  <si>
    <t>F02-STO1/2</t>
  </si>
  <si>
    <t>R2:I:1.2</t>
  </si>
  <si>
    <t>R2:O:4.2</t>
  </si>
  <si>
    <t>Frame-2 Robot Auto Stop Relay Healthy 1/1</t>
  </si>
  <si>
    <t>F02-RAS1/1</t>
  </si>
  <si>
    <t>R2:I:1.3</t>
  </si>
  <si>
    <t>R2:O:4.3</t>
  </si>
  <si>
    <t>Frame-2 Robot Auto Stop Relay Healthy 1/2</t>
  </si>
  <si>
    <t>F02-RAS1/2</t>
  </si>
  <si>
    <t>R2:I:1.4</t>
  </si>
  <si>
    <t>R2:O:4.4</t>
  </si>
  <si>
    <t>Frame-2 Robot E-Stop Relay Healthy 1/1</t>
  </si>
  <si>
    <t>F02-RES1/1</t>
  </si>
  <si>
    <t>R2:I:1.5</t>
  </si>
  <si>
    <t>R2:O:4.5</t>
  </si>
  <si>
    <t>Frame-2 Robot E-Stop Relay Healthy 1/2</t>
  </si>
  <si>
    <t>F02-RES1/2</t>
  </si>
  <si>
    <t>R2:I:1.6</t>
  </si>
  <si>
    <t>R2:O:4.6</t>
  </si>
  <si>
    <t>Frame-2 Door Switch Coil-1,2,3,4,5,6/1</t>
  </si>
  <si>
    <t>F02-DSW1,2,3,4,5,6/1</t>
  </si>
  <si>
    <t>R2:I:1.7</t>
  </si>
  <si>
    <t>R2:O:4.7</t>
  </si>
  <si>
    <t>Frame-2 Door Switch Coil-1,2,3,4,5,6/2</t>
  </si>
  <si>
    <t>F02-DSW1,2,3,4,5,6/2</t>
  </si>
  <si>
    <t>R2:I:2.0</t>
  </si>
  <si>
    <t>R2:O:5.0</t>
  </si>
  <si>
    <t>Frame-2 Bag Bin-1 Door Switch Coil-7/1</t>
  </si>
  <si>
    <t>F02-DSW7/1</t>
  </si>
  <si>
    <t>R2:I:2.1</t>
  </si>
  <si>
    <t>R2:O:5.1</t>
  </si>
  <si>
    <t>Frame-2 Bag Bin-1 Door Switch Coil-7/2</t>
  </si>
  <si>
    <t>F02-DSW7/2</t>
  </si>
  <si>
    <t>R2:I:2.2</t>
  </si>
  <si>
    <t>R2:O:5.2</t>
  </si>
  <si>
    <t>Frame-2 Bag Bin-2 Door Switch Coil-8/1</t>
  </si>
  <si>
    <t>F02-DSW8/1</t>
  </si>
  <si>
    <t>R2:I:2.3</t>
  </si>
  <si>
    <t>R2:O:5.3</t>
  </si>
  <si>
    <t>Frame-2 Bag Bin-2 Door Switch Coil-8/2</t>
  </si>
  <si>
    <t>F02-DSW8/2</t>
  </si>
  <si>
    <t>R2:I:2.4</t>
  </si>
  <si>
    <t>R2:O:5.4</t>
  </si>
  <si>
    <t>R2:I:2.5</t>
  </si>
  <si>
    <t>R2:O:5.5</t>
  </si>
  <si>
    <t>R2:I:2.6</t>
  </si>
  <si>
    <t>Frame-2 Bag Bin-1 Door Switch-7/1</t>
  </si>
  <si>
    <t>R2:O:5.6</t>
  </si>
  <si>
    <t>R2:I:2.7</t>
  </si>
  <si>
    <t>Frame-2 Bag Bin-1 Door Switch-7/2</t>
  </si>
  <si>
    <t>R2:O:5.7</t>
  </si>
  <si>
    <t>R2:I:3.0</t>
  </si>
  <si>
    <t>Frame-2 Bag Bin-2 Door Switch-8/1</t>
  </si>
  <si>
    <t>R2:I:3.1</t>
  </si>
  <si>
    <t>Frame-2 Bag Bin-2 Door Switch-8/2</t>
  </si>
  <si>
    <t>R2:I:3.2</t>
  </si>
  <si>
    <t>R2:I:3.3</t>
  </si>
  <si>
    <t>R2:I:3.4</t>
  </si>
  <si>
    <t>R2:I:3.5</t>
  </si>
  <si>
    <t>R2:I:3.6</t>
  </si>
  <si>
    <t>R2:I:3.7</t>
  </si>
  <si>
    <t>R21:6:I.0</t>
  </si>
  <si>
    <t>R2:8:O.0</t>
  </si>
  <si>
    <t>R21:6:I.1</t>
  </si>
  <si>
    <t>R2:8:O.1</t>
  </si>
  <si>
    <t>Bag Sealer Vacuum Pump Enable</t>
  </si>
  <si>
    <t>R21:6:I.2</t>
  </si>
  <si>
    <t>R2:8:O.2</t>
  </si>
  <si>
    <t>Bag Heat Sealer Enable</t>
  </si>
  <si>
    <t>SSR</t>
  </si>
  <si>
    <t>R21:6:I.3</t>
  </si>
  <si>
    <t>Bag Sealer Vacuum Pump Trip Healthy</t>
  </si>
  <si>
    <t>R2:8:O.3</t>
  </si>
  <si>
    <t>R21:6:I.4</t>
  </si>
  <si>
    <t>RCCB Contact</t>
  </si>
  <si>
    <t>R2:8:O.4</t>
  </si>
  <si>
    <t>R21:6:I.5</t>
  </si>
  <si>
    <t>R2:8:O.5</t>
  </si>
  <si>
    <t>R21:6:I.6</t>
  </si>
  <si>
    <t>R2:8:O.6</t>
  </si>
  <si>
    <t>R21:6:I.7</t>
  </si>
  <si>
    <t>R2:8:O.7</t>
  </si>
  <si>
    <t>R21:7:I.0</t>
  </si>
  <si>
    <t>R21:7:I.1</t>
  </si>
  <si>
    <t>R21:7:I.2</t>
  </si>
  <si>
    <t>R21:7:I.3</t>
  </si>
  <si>
    <t>R21:7:I.4</t>
  </si>
  <si>
    <t>R21:7:I.5</t>
  </si>
  <si>
    <t>R21:7:I.6</t>
  </si>
  <si>
    <t>R21:7:I.7</t>
  </si>
  <si>
    <t>RS37</t>
  </si>
  <si>
    <t>RS38</t>
  </si>
  <si>
    <t>RS39</t>
  </si>
  <si>
    <t>RS40</t>
  </si>
  <si>
    <t>RS41</t>
  </si>
  <si>
    <t>RS42</t>
  </si>
  <si>
    <t>RS43</t>
  </si>
  <si>
    <t>RS44</t>
  </si>
  <si>
    <t>Bag Opening Bottom Vacuum Switch</t>
  </si>
  <si>
    <t>RS45</t>
  </si>
  <si>
    <t>RS46</t>
  </si>
  <si>
    <t>PS32</t>
  </si>
  <si>
    <t>PS33</t>
  </si>
  <si>
    <t>Bag Bin-1 Lock/Unlock PB</t>
  </si>
  <si>
    <t>Push Button</t>
  </si>
  <si>
    <t>PB05</t>
  </si>
  <si>
    <t>Bag Bin-2 Lock/Unlock PB</t>
  </si>
  <si>
    <t>PB06</t>
  </si>
  <si>
    <t>VSW04</t>
  </si>
  <si>
    <t>PS34</t>
  </si>
  <si>
    <t>PS35</t>
  </si>
  <si>
    <t>PS36</t>
  </si>
  <si>
    <t>PS37</t>
  </si>
  <si>
    <t>RS47</t>
  </si>
  <si>
    <t>RS48</t>
  </si>
  <si>
    <t>RS49</t>
  </si>
  <si>
    <t>RS50</t>
  </si>
  <si>
    <t>Sealing Unit Vacuum Pressure OK</t>
  </si>
  <si>
    <t>VSW05</t>
  </si>
  <si>
    <t>Sealing Unit Bag Opening Cylinder Up FB</t>
  </si>
  <si>
    <t>RS51</t>
  </si>
  <si>
    <t>Sealing Unit Bag Opening Cylinder Dn FB</t>
  </si>
  <si>
    <t>RS52</t>
  </si>
  <si>
    <t>PS38</t>
  </si>
  <si>
    <t>Bag Bin Safety Cover Slide Position 01 FB</t>
  </si>
  <si>
    <t>Bag Bin Safety Cover Slide Position 02 FB</t>
  </si>
  <si>
    <t>Tray Feeding Conveyor Buffer Stopper FWD FB</t>
  </si>
  <si>
    <t>Tray Feeding Conveyor Buffer Stopper Rev FB</t>
  </si>
  <si>
    <t>Bowl Feeder 01 Linear Feeder Exit Stopper FWD FB</t>
  </si>
  <si>
    <t>Bowl Feeder 02 Linear Feeder Exit Stopper FWD FB</t>
  </si>
  <si>
    <t>Bowl Feeder 01 Linear Feeder Exit Stopper REV FB</t>
  </si>
  <si>
    <t>Bowl Feeder 02 Linear Feeder Exit Stopper REV FB</t>
  </si>
  <si>
    <t>PLC Tag</t>
  </si>
  <si>
    <t>IP Adress</t>
  </si>
  <si>
    <t>PLC</t>
  </si>
  <si>
    <t>PLC01</t>
  </si>
  <si>
    <t>192.052.020.031</t>
  </si>
  <si>
    <t>Remote IO 01</t>
  </si>
  <si>
    <t>RIO01</t>
  </si>
  <si>
    <t>192.052.020.033</t>
  </si>
  <si>
    <t>Scada</t>
  </si>
  <si>
    <t>SCADA01</t>
  </si>
  <si>
    <t>192.052.020.034</t>
  </si>
  <si>
    <t>RM01</t>
  </si>
  <si>
    <t>192.052.020.038</t>
  </si>
  <si>
    <t>FB_Servo01</t>
  </si>
  <si>
    <t>192.052.020.048</t>
  </si>
  <si>
    <t>FB_Servo02</t>
  </si>
  <si>
    <t>192.052.020.049</t>
  </si>
  <si>
    <t>FB_Servo03</t>
  </si>
  <si>
    <t>192.052.020.050</t>
  </si>
  <si>
    <t>FB_Servo04</t>
  </si>
  <si>
    <t>192.052.020.051</t>
  </si>
  <si>
    <t>FB_Servo05</t>
  </si>
  <si>
    <t>192.052.020.052</t>
  </si>
  <si>
    <t>FB_Servo06</t>
  </si>
  <si>
    <t>192.052.020.053</t>
  </si>
  <si>
    <t>FB_Servo07</t>
  </si>
  <si>
    <t>192.052.020.047</t>
  </si>
  <si>
    <t>FB_Servo08</t>
  </si>
  <si>
    <t>192.052.020.055</t>
  </si>
  <si>
    <t>FB_Servo09</t>
  </si>
  <si>
    <t>192.052.020.044</t>
  </si>
  <si>
    <t>FB_Servo10</t>
  </si>
  <si>
    <t>192.052.020.045</t>
  </si>
  <si>
    <t>FB_Drive01</t>
  </si>
  <si>
    <t>192.052.020.046</t>
  </si>
  <si>
    <t>FB_Drive02</t>
  </si>
  <si>
    <t>192.052.020.054</t>
  </si>
  <si>
    <t>FB_Drive03</t>
  </si>
  <si>
    <t>192.052.020.056</t>
  </si>
  <si>
    <t>Bowl Feeder Motor 01</t>
  </si>
  <si>
    <t>FB_DOL01</t>
  </si>
  <si>
    <t>NA</t>
  </si>
  <si>
    <t>Bowl Feeder Motor 02</t>
  </si>
  <si>
    <t>FB_DOL02</t>
  </si>
  <si>
    <t>FB_DOL03</t>
  </si>
  <si>
    <t>Robot 01</t>
  </si>
  <si>
    <t>ABB</t>
  </si>
  <si>
    <t>FB_ROB01</t>
  </si>
  <si>
    <t>192.052.020.040</t>
  </si>
  <si>
    <t>Robot 02</t>
  </si>
  <si>
    <t>FB_ROB02</t>
  </si>
  <si>
    <t>192.052.020.041</t>
  </si>
  <si>
    <t>Robot 03</t>
  </si>
  <si>
    <t>FB_ROB03</t>
  </si>
  <si>
    <t>192.052.020.039</t>
  </si>
  <si>
    <t>Robot 04</t>
  </si>
  <si>
    <t>FB_ROB04</t>
  </si>
  <si>
    <t>192.052.020.057</t>
  </si>
  <si>
    <t>Cyl Qty</t>
  </si>
  <si>
    <t>PLC Tag /FB No</t>
  </si>
  <si>
    <t>FB Description</t>
  </si>
  <si>
    <t>Pos01</t>
  </si>
  <si>
    <t>Pos02</t>
  </si>
  <si>
    <t>IP01</t>
  </si>
  <si>
    <t>IP02</t>
  </si>
  <si>
    <t>OP01</t>
  </si>
  <si>
    <t>OP02</t>
  </si>
  <si>
    <t>Plate Infeed Conveyor Diverter</t>
  </si>
  <si>
    <t>FB_PV01</t>
  </si>
  <si>
    <t>Plate Handling ROBOT 01 Gripper</t>
  </si>
  <si>
    <t>Linear Feeder 01 Exit Stopper</t>
  </si>
  <si>
    <t>FB_PV02</t>
  </si>
  <si>
    <t>Open</t>
  </si>
  <si>
    <t>Close</t>
  </si>
  <si>
    <t>Plate Handling ROBOT 01 Swing</t>
  </si>
  <si>
    <t>Linear Feeder 02 Exit Stopper</t>
  </si>
  <si>
    <t>FB_PV03</t>
  </si>
  <si>
    <t>Tray 01 Side Guide</t>
  </si>
  <si>
    <t>FB_PV04</t>
  </si>
  <si>
    <t>Fwd</t>
  </si>
  <si>
    <t>Rev</t>
  </si>
  <si>
    <t>Tray 01 Front Guide</t>
  </si>
  <si>
    <t>FB_PV05</t>
  </si>
  <si>
    <t>Tray 01 Stopper 01/02</t>
  </si>
  <si>
    <t>FB_PV06</t>
  </si>
  <si>
    <t>Up</t>
  </si>
  <si>
    <t>Down</t>
  </si>
  <si>
    <t>FB_PV07</t>
  </si>
  <si>
    <t>Plate Handling ROBOT 02 Gripper</t>
  </si>
  <si>
    <t>FB_PV08</t>
  </si>
  <si>
    <t>Plate Handling ROBOT 02 Swing</t>
  </si>
  <si>
    <t>FB_PV09</t>
  </si>
  <si>
    <t>Tray 02 Side Guide</t>
  </si>
  <si>
    <t>FB_PV10</t>
  </si>
  <si>
    <t>Tray 02 Front Guide</t>
  </si>
  <si>
    <t>FB_PV11</t>
  </si>
  <si>
    <t>Tray 02 Stopper 01/02</t>
  </si>
  <si>
    <t>FB_PV12</t>
  </si>
  <si>
    <t>FB_PV13</t>
  </si>
  <si>
    <t>Tray Insertion Servo Slide Pusher</t>
  </si>
  <si>
    <t>FB_PV14</t>
  </si>
  <si>
    <t>Tray Insertion Servo Tray Stopper</t>
  </si>
  <si>
    <t>FB_PV15</t>
  </si>
  <si>
    <t>Bag Opening Swing Arm1/2</t>
  </si>
  <si>
    <t>FB_PV16</t>
  </si>
  <si>
    <t>In</t>
  </si>
  <si>
    <t>Out</t>
  </si>
  <si>
    <t>Bag Opening Swing Arm Stretch</t>
  </si>
  <si>
    <t>FB_PV17</t>
  </si>
  <si>
    <t>Bag Opening Vacuum Cup Lifter</t>
  </si>
  <si>
    <t>FB_PV18</t>
  </si>
  <si>
    <t>Tray Stacker Safety Cover Slide</t>
  </si>
  <si>
    <t>FB_PV19</t>
  </si>
  <si>
    <t>Tray Stacker 01 Tray Centering</t>
  </si>
  <si>
    <t>FB_PV20</t>
  </si>
  <si>
    <t>Tray Stacker 01 Tray Referencing</t>
  </si>
  <si>
    <t>FB_PV21</t>
  </si>
  <si>
    <t>Tray Stacker 02 Tray Centering</t>
  </si>
  <si>
    <t>FB_PV22</t>
  </si>
  <si>
    <t>Tray Stacker 02 Tray Referencing</t>
  </si>
  <si>
    <t>FB_PV23</t>
  </si>
  <si>
    <t>Tray Transfer ROBOT Tray Lifter</t>
  </si>
  <si>
    <t>FB_PV24</t>
  </si>
  <si>
    <t>Tray Transfer ROBOT Tray Vacuum Cup</t>
  </si>
  <si>
    <t>FB_PV25</t>
  </si>
  <si>
    <t>On</t>
  </si>
  <si>
    <t>Bag Transfer Robot Vacuum Cup</t>
  </si>
  <si>
    <t>FB_PV26</t>
  </si>
  <si>
    <t>Sealing Unit Heating Jaw</t>
  </si>
  <si>
    <t>FB_PV27</t>
  </si>
  <si>
    <t>Sealing Unit Vacuum Jaw</t>
  </si>
  <si>
    <t>FB_PV28</t>
  </si>
  <si>
    <t>New Added</t>
  </si>
  <si>
    <t>Sealing Unit Bag Opening Cylinder</t>
  </si>
  <si>
    <t>FB_PV29</t>
  </si>
  <si>
    <t>Tray Feeding Conveyor Buffer Stopper</t>
  </si>
  <si>
    <t>FB_PV30</t>
  </si>
  <si>
    <t>FB_PV31</t>
  </si>
  <si>
    <t>FB_PV32</t>
  </si>
  <si>
    <t>FB_PV33</t>
  </si>
  <si>
    <t>FB_PV34</t>
  </si>
  <si>
    <t>Alarm</t>
  </si>
  <si>
    <t>Communication_Alarm</t>
  </si>
  <si>
    <t>SR.No</t>
  </si>
  <si>
    <t>ErrorCode_</t>
  </si>
  <si>
    <t>Alarm Description</t>
  </si>
  <si>
    <t>Alarm_Message</t>
  </si>
  <si>
    <t>E001</t>
  </si>
  <si>
    <t xml:space="preserve"> </t>
  </si>
  <si>
    <t>Communication  Faulted</t>
  </si>
  <si>
    <t>E002</t>
  </si>
  <si>
    <t>Remote IO 02</t>
  </si>
  <si>
    <t>E003</t>
  </si>
  <si>
    <t>Drive Communication  Faulted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</si>
  <si>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</si>
  <si>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</si>
  <si>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</si>
  <si>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</si>
  <si>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</si>
  <si>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</si>
  <si>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</si>
  <si>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</si>
  <si>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</si>
  <si>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</si>
  <si>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</si>
  <si>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</si>
  <si>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</si>
  <si>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Plate Handling ROBOT-01</t>
  </si>
  <si>
    <t>E017</t>
  </si>
  <si>
    <t>Plate Handling ROBOT-02</t>
  </si>
  <si>
    <t>E018</t>
  </si>
  <si>
    <t>Tray Transfer Robot 01</t>
  </si>
  <si>
    <t>E019</t>
  </si>
  <si>
    <t>Bag Transfer Robot 01</t>
  </si>
  <si>
    <t>E020</t>
  </si>
  <si>
    <t>Valve Bank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</si>
  <si>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</si>
  <si>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</si>
  <si>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</si>
  <si>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</si>
  <si>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</si>
  <si>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</si>
  <si>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</si>
  <si>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</si>
  <si>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</si>
  <si>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</si>
  <si>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</si>
  <si>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</si>
  <si>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E101</t>
  </si>
  <si>
    <t>Air Pressure</t>
  </si>
  <si>
    <t>Low</t>
  </si>
  <si>
    <t>E102</t>
  </si>
  <si>
    <t>E-Stop At HMI</t>
  </si>
  <si>
    <t>Pressed</t>
  </si>
  <si>
    <t>E103</t>
  </si>
  <si>
    <t>E-Stop At Fame 02</t>
  </si>
  <si>
    <t>E104</t>
  </si>
  <si>
    <t>Frame 01 Door 01</t>
  </si>
  <si>
    <t>E105</t>
  </si>
  <si>
    <t>Frame 01 Door 02</t>
  </si>
  <si>
    <t>E106</t>
  </si>
  <si>
    <t>Frame 01 Door 03</t>
  </si>
  <si>
    <t>E107</t>
  </si>
  <si>
    <t>E108</t>
  </si>
  <si>
    <t>E109</t>
  </si>
  <si>
    <t>E110</t>
  </si>
  <si>
    <t>E111</t>
  </si>
  <si>
    <t>E112</t>
  </si>
  <si>
    <t>Frame 02 Door 01</t>
  </si>
  <si>
    <t>E113</t>
  </si>
  <si>
    <t>Frame 02 Door 02</t>
  </si>
  <si>
    <t>E114</t>
  </si>
  <si>
    <t>Frame 02 Door 03</t>
  </si>
  <si>
    <t>E115</t>
  </si>
  <si>
    <t>Frame 02 Door 04</t>
  </si>
  <si>
    <t>E116</t>
  </si>
  <si>
    <t>Frame 02 Door 05</t>
  </si>
  <si>
    <t>E117</t>
  </si>
  <si>
    <t>Frame 02 Door 06</t>
  </si>
  <si>
    <t>E118</t>
  </si>
  <si>
    <t>Tray Stacker Safety Cover</t>
  </si>
  <si>
    <t>E119</t>
  </si>
  <si>
    <t>E120</t>
  </si>
  <si>
    <t>E201</t>
  </si>
  <si>
    <t>MPCB Tripped</t>
  </si>
  <si>
    <t>E202</t>
  </si>
  <si>
    <t>Drive Not Ready</t>
  </si>
  <si>
    <t>E203</t>
  </si>
  <si>
    <t>Drive  Faulted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</si>
  <si>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</si>
  <si>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</si>
  <si>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</si>
  <si>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</si>
  <si>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</si>
  <si>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</si>
  <si>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</si>
  <si>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</si>
  <si>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</si>
  <si>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</si>
  <si>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</si>
  <si>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</si>
  <si>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</si>
  <si>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</si>
  <si>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</si>
  <si>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</si>
  <si>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</si>
  <si>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</si>
  <si>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</si>
  <si>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</si>
  <si>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</si>
  <si>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</si>
  <si>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</si>
  <si>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</si>
  <si>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</si>
  <si>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</si>
  <si>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</si>
  <si>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</si>
  <si>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</si>
  <si>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</si>
  <si>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</si>
  <si>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</si>
  <si>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</si>
  <si>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</si>
  <si>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</si>
  <si>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</si>
  <si>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</si>
  <si>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</si>
  <si>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Spare</t>
  </si>
  <si>
    <t>E242</t>
  </si>
  <si>
    <t>E243</t>
  </si>
  <si>
    <t>E244</t>
  </si>
  <si>
    <t>E245</t>
  </si>
  <si>
    <t>E246</t>
  </si>
  <si>
    <t>Both Reedswitch Present</t>
  </si>
  <si>
    <t>E247</t>
  </si>
  <si>
    <t>Both Reedswitch Absent</t>
  </si>
  <si>
    <t>E248</t>
  </si>
  <si>
    <t>Position 01 Reedswitch Absent</t>
  </si>
  <si>
    <t>E249</t>
  </si>
  <si>
    <t>Position 02 Reedswitch Absent</t>
  </si>
  <si>
    <t>E250</t>
  </si>
  <si>
    <t>E251</t>
  </si>
  <si>
    <t>E252</t>
  </si>
  <si>
    <t>Open Reedswitch Absent</t>
  </si>
  <si>
    <t>E253</t>
  </si>
  <si>
    <t>Close Reedswitch Absent</t>
  </si>
  <si>
    <t>E254</t>
  </si>
  <si>
    <t>E255</t>
  </si>
  <si>
    <t>E256</t>
  </si>
  <si>
    <t>E257</t>
  </si>
  <si>
    <t>E258</t>
  </si>
  <si>
    <t>E259</t>
  </si>
  <si>
    <t>E260</t>
  </si>
  <si>
    <t>E261</t>
  </si>
  <si>
    <t>Reverse Reedswitch Absent</t>
  </si>
  <si>
    <t>E262</t>
  </si>
  <si>
    <t>E263</t>
  </si>
  <si>
    <t>E264</t>
  </si>
  <si>
    <t>E265</t>
  </si>
  <si>
    <t>E266</t>
  </si>
  <si>
    <t>E267</t>
  </si>
  <si>
    <t>E268</t>
  </si>
  <si>
    <t>Up Reedswitch Absent</t>
  </si>
  <si>
    <t>E269</t>
  </si>
  <si>
    <t>Down Reedswitch Absent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</si>
  <si>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</si>
  <si>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</si>
  <si>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</si>
  <si>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</si>
  <si>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</si>
  <si>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</si>
  <si>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</si>
  <si>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</si>
  <si>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</si>
  <si>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</si>
  <si>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</si>
  <si>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</si>
  <si>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</si>
  <si>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</si>
  <si>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</si>
  <si>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</si>
  <si>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</si>
  <si>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</si>
  <si>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</si>
  <si>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</si>
  <si>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</si>
  <si>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Tray 02 Stopper 01</t>
  </si>
  <si>
    <t>E291</t>
  </si>
  <si>
    <t>E292</t>
  </si>
  <si>
    <t>E293</t>
  </si>
  <si>
    <t>E294</t>
  </si>
  <si>
    <t>FB_PV12_2</t>
  </si>
  <si>
    <t>Tray 02 Stopper 02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</si>
  <si>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</si>
  <si>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</si>
  <si>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</si>
  <si>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</si>
  <si>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</si>
  <si>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</si>
  <si>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</si>
  <si>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</si>
  <si>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</si>
  <si>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</si>
  <si>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</si>
  <si>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</si>
  <si>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</si>
  <si>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</si>
  <si>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</si>
  <si>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</si>
  <si>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Bag Opening Swing Arm 1</t>
  </si>
  <si>
    <t>E311</t>
  </si>
  <si>
    <t>E312</t>
  </si>
  <si>
    <t>In Reedswitch Absent</t>
  </si>
  <si>
    <t>E313</t>
  </si>
  <si>
    <t>Out Reedswitch Absent</t>
  </si>
  <si>
    <t>E314</t>
  </si>
  <si>
    <t>FB_PV16_2</t>
  </si>
  <si>
    <t>Bag Opening Swing Arm 2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</si>
  <si>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</si>
  <si>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</si>
  <si>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</si>
  <si>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</si>
  <si>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</si>
  <si>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</si>
  <si>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</si>
  <si>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</si>
  <si>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</si>
  <si>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</si>
  <si>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</si>
  <si>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</si>
  <si>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</si>
  <si>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</si>
  <si>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</si>
  <si>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</si>
  <si>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</si>
  <si>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</si>
  <si>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</si>
  <si>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</si>
  <si>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</si>
  <si>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</si>
  <si>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</si>
  <si>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</si>
  <si>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</si>
  <si>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</si>
  <si>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</si>
  <si>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</si>
  <si>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</si>
  <si>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</si>
  <si>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</si>
  <si>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</si>
  <si>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</si>
  <si>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</si>
  <si>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</si>
  <si>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</si>
  <si>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Sapre</t>
  </si>
  <si>
    <t>E351</t>
  </si>
  <si>
    <t>E352</t>
  </si>
  <si>
    <t>Vacuum On Feedback Absent</t>
  </si>
  <si>
    <t>E353</t>
  </si>
  <si>
    <t>Vacuum Off Feedback Absent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</si>
  <si>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</si>
  <si>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</si>
  <si>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</si>
  <si>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</si>
  <si>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</si>
  <si>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</si>
  <si>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</si>
  <si>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</si>
  <si>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</si>
  <si>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</si>
  <si>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</si>
  <si>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</si>
  <si>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</si>
  <si>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</si>
  <si>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</si>
  <si>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</si>
  <si>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</si>
  <si>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</si>
  <si>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</si>
  <si>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</si>
  <si>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</si>
  <si>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</si>
  <si>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</si>
  <si>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</si>
  <si>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</si>
  <si>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</si>
  <si>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</si>
  <si>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</si>
  <si>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</si>
  <si>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</si>
  <si>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</si>
  <si>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</si>
  <si>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</si>
  <si>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</si>
  <si>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</si>
  <si>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</si>
  <si>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</si>
  <si>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</si>
  <si>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</si>
  <si>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</si>
  <si>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</si>
  <si>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</si>
  <si>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</si>
  <si>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</si>
  <si>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</si>
  <si>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</si>
  <si>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</si>
  <si>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</si>
  <si>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</si>
  <si>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</si>
  <si>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</si>
  <si>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</si>
  <si>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</si>
  <si>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</si>
  <si>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</si>
  <si>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</si>
  <si>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</si>
  <si>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</si>
  <si>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</si>
  <si>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</si>
  <si>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</si>
  <si>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</si>
  <si>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</si>
  <si>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</si>
  <si>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</si>
  <si>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</si>
  <si>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</si>
  <si>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</si>
  <si>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</si>
  <si>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</si>
  <si>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</si>
  <si>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</si>
  <si>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</si>
  <si>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</si>
  <si>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</si>
  <si>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</si>
  <si>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</si>
  <si>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</si>
  <si>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</si>
  <si>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</si>
  <si>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</si>
  <si>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</si>
  <si>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</si>
  <si>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</si>
  <si>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</si>
  <si>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</si>
  <si>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</si>
  <si>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</si>
  <si>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</si>
  <si>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</si>
  <si>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</si>
  <si>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</si>
  <si>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</si>
  <si>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</si>
  <si>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</si>
  <si>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</si>
  <si>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</si>
  <si>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</si>
  <si>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</si>
  <si>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</si>
  <si>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</si>
  <si>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</si>
  <si>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</si>
  <si>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</si>
  <si>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</si>
  <si>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</si>
  <si>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</si>
  <si>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</si>
  <si>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</si>
  <si>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</si>
  <si>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</si>
  <si>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</si>
  <si>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</si>
  <si>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</si>
  <si>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</si>
  <si>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</si>
  <si>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</si>
  <si>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</si>
  <si>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</si>
  <si>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</si>
  <si>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</si>
  <si>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</si>
  <si>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</si>
  <si>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</si>
  <si>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</si>
  <si>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</si>
  <si>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</si>
  <si>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</si>
  <si>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</si>
  <si>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</si>
  <si>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</si>
  <si>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</si>
  <si>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</si>
  <si>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</si>
  <si>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</si>
  <si>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</si>
  <si>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</si>
  <si>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</si>
  <si>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</si>
  <si>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</si>
  <si>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</si>
  <si>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</si>
  <si>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</si>
  <si>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</si>
  <si>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</si>
  <si>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</si>
  <si>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</si>
  <si>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</si>
  <si>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</si>
  <si>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</si>
  <si>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</si>
  <si>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</si>
  <si>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</si>
  <si>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</si>
  <si>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</si>
  <si>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</si>
  <si>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</si>
  <si>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</si>
  <si>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</si>
  <si>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</si>
  <si>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</si>
  <si>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</si>
  <si>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</si>
  <si>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E517</t>
  </si>
  <si>
    <t>E518</t>
  </si>
  <si>
    <t>E519</t>
  </si>
  <si>
    <t>E520</t>
  </si>
  <si>
    <t>E521</t>
  </si>
  <si>
    <t>E522</t>
  </si>
  <si>
    <t>E523</t>
  </si>
  <si>
    <t>E524</t>
  </si>
  <si>
    <t>E525</t>
  </si>
  <si>
    <t>E526</t>
  </si>
  <si>
    <t>E527</t>
  </si>
  <si>
    <t>E528</t>
  </si>
  <si>
    <t>E529</t>
  </si>
  <si>
    <t>E530</t>
  </si>
  <si>
    <t>E531</t>
  </si>
  <si>
    <t>E532</t>
  </si>
  <si>
    <t>E533</t>
  </si>
  <si>
    <t>E534</t>
  </si>
  <si>
    <t>E535</t>
  </si>
  <si>
    <t>E536</t>
  </si>
  <si>
    <t>E537</t>
  </si>
  <si>
    <t>E538</t>
  </si>
  <si>
    <t>E539</t>
  </si>
  <si>
    <t>E540</t>
  </si>
  <si>
    <t>E541</t>
  </si>
  <si>
    <t>E542</t>
  </si>
  <si>
    <t>E543</t>
  </si>
  <si>
    <t>E544</t>
  </si>
  <si>
    <t>E545</t>
  </si>
  <si>
    <t>E546</t>
  </si>
  <si>
    <t>E547</t>
  </si>
  <si>
    <t>E548</t>
  </si>
  <si>
    <t>E549</t>
  </si>
  <si>
    <t>E550</t>
  </si>
  <si>
    <t>E551</t>
  </si>
  <si>
    <t>E552</t>
  </si>
  <si>
    <t>E553</t>
  </si>
  <si>
    <t>E554</t>
  </si>
  <si>
    <t>E555</t>
  </si>
  <si>
    <t>E556</t>
  </si>
  <si>
    <t>E557</t>
  </si>
  <si>
    <t>E558</t>
  </si>
  <si>
    <t>E559</t>
  </si>
  <si>
    <t>E560</t>
  </si>
  <si>
    <t>E561</t>
  </si>
  <si>
    <t>E562</t>
  </si>
  <si>
    <t>E563</t>
  </si>
  <si>
    <t>E564</t>
  </si>
  <si>
    <t>E565</t>
  </si>
  <si>
    <t>E566</t>
  </si>
  <si>
    <t>E567</t>
  </si>
  <si>
    <t>E568</t>
  </si>
  <si>
    <t>E569</t>
  </si>
  <si>
    <t>E570</t>
  </si>
  <si>
    <t>E571</t>
  </si>
  <si>
    <t>E572</t>
  </si>
  <si>
    <t>E573</t>
  </si>
  <si>
    <t>E574</t>
  </si>
  <si>
    <t>E575</t>
  </si>
  <si>
    <t>E576</t>
  </si>
  <si>
    <t>E577</t>
  </si>
  <si>
    <t>E578</t>
  </si>
  <si>
    <t>E579</t>
  </si>
  <si>
    <t>E580</t>
  </si>
  <si>
    <t>E581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</si>
  <si>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</si>
  <si>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</si>
  <si>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</si>
  <si>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</si>
  <si>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</si>
  <si>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</si>
  <si>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</si>
  <si>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</si>
  <si>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</si>
  <si>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</si>
  <si>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</si>
  <si>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</si>
  <si>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</si>
  <si>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</si>
  <si>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</si>
  <si>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</si>
  <si>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</si>
  <si>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</si>
  <si>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E600</t>
  </si>
  <si>
    <t>E601</t>
  </si>
  <si>
    <t>E602</t>
  </si>
  <si>
    <t>E603</t>
  </si>
  <si>
    <t>E604</t>
  </si>
  <si>
    <t>E605</t>
  </si>
  <si>
    <t>E606</t>
  </si>
  <si>
    <t>E607</t>
  </si>
  <si>
    <t>E608</t>
  </si>
  <si>
    <t>FB_Servo01_TPS01</t>
  </si>
  <si>
    <t>FB_Servo02_PPS01</t>
  </si>
  <si>
    <t>FB_Servo03_PGS01</t>
  </si>
  <si>
    <t>FB_Servo04_TPS02</t>
  </si>
  <si>
    <t>FB_Servo05_PPS02</t>
  </si>
  <si>
    <t>FB_Servo06_PGS02</t>
  </si>
  <si>
    <t>FB_Servo07_PASS01</t>
  </si>
  <si>
    <t>FB_Servo08_TIS01</t>
  </si>
  <si>
    <t>FB_Servo09_TST01</t>
  </si>
  <si>
    <t>FB_Servo10_TST02</t>
  </si>
  <si>
    <t>FB_Drive01_PFC01</t>
  </si>
  <si>
    <t>FB_Drive02_TFC01</t>
  </si>
  <si>
    <t>FB_Drive03_SLC01</t>
  </si>
  <si>
    <t>FB_DOL01_BFM01</t>
  </si>
  <si>
    <t>FB_DOL02_BFM02</t>
  </si>
  <si>
    <t>FB_DOL03_VPM01</t>
  </si>
  <si>
    <t>FB_ROB01_Robot 01</t>
  </si>
  <si>
    <t>FB_ROB02_Robot 02</t>
  </si>
  <si>
    <t>FB_ROB03_Robot 03</t>
  </si>
  <si>
    <t>FB_ROB04_Robot 04</t>
  </si>
  <si>
    <t>RIO02</t>
  </si>
  <si>
    <t>Remote Module 01</t>
  </si>
  <si>
    <t>AENTR IO 01</t>
  </si>
  <si>
    <t>AENTR IO 02</t>
  </si>
  <si>
    <t>RM02</t>
  </si>
  <si>
    <t>Remote Module 02</t>
  </si>
  <si>
    <t>192.052.020.035</t>
  </si>
  <si>
    <t>192.052.020.036</t>
  </si>
  <si>
    <t>RM03</t>
  </si>
  <si>
    <t>RM04</t>
  </si>
  <si>
    <t>RM05</t>
  </si>
  <si>
    <t>RM06</t>
  </si>
  <si>
    <t>RM07</t>
  </si>
  <si>
    <t>RM08</t>
  </si>
  <si>
    <t>RM09</t>
  </si>
  <si>
    <t>RM10</t>
  </si>
  <si>
    <t>RM11</t>
  </si>
  <si>
    <t>Bag Opening Bottom Vacuum Cup</t>
  </si>
  <si>
    <t>Bag Sealer Vacuum Pump</t>
  </si>
  <si>
    <t>BSVPM01</t>
  </si>
  <si>
    <t>FB_DOL04</t>
  </si>
  <si>
    <t>FB_DOL04_BSVP01</t>
  </si>
  <si>
    <t>Bowl Feeder Linear Motor 01</t>
  </si>
  <si>
    <t>Bowl Feeder Bowl Motor 01</t>
  </si>
  <si>
    <t>Bowl Feeder Bowl Motor 02</t>
  </si>
  <si>
    <t>Bowl Feeder Linear Motor 02</t>
  </si>
  <si>
    <t>Frame 01 Tray 01 Door 04</t>
  </si>
  <si>
    <t>Frame 01 Tray 02 Door 05</t>
  </si>
  <si>
    <t>Frame 02 Bag Bin 01 Door 07</t>
  </si>
  <si>
    <t>Frame 02 Bag Bin 02 Door 08</t>
  </si>
  <si>
    <t>Bag Bin Safety Cover</t>
  </si>
  <si>
    <t>Tray 01 Stopper 01</t>
  </si>
  <si>
    <t>Tray 01 Stopper 02</t>
  </si>
  <si>
    <t>FB_PV07_2</t>
  </si>
  <si>
    <t>Forward Reedswitch 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</si>
</sst>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>
    <font>
      <sz val="11"/>
      <color theme="1"/>
      <name val="Calibri"/>
      <family val="2"/>
      <scheme val="minor"/>
    </font>
    <font>
      <b/>
      <sz val="12"/>
      <color theme="1"/>
      <name val="Roboto Lt"/>
    </font>
    <font>
      <b/>
      <sz val="11"/>
      <color theme="1"/>
      <name val="Roboto Lt"/>
    </font>
    <font>
      <sz val="11"/>
      <color theme="1"/>
      <name val="Roboto Lt"/>
    </font>
    <font>
      <sz val="12"/>
      <color theme="1"/>
      <name val="Roboto Lt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sz val="12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1" xfId="0" applyFont="1" applyFill="1" applyBorder="1"/>
    <xf numFmtId="0" fontId="1" fillId="2" borderId="21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7" fillId="0" borderId="5" xfId="0" applyFont="1" applyBorder="1"/>
    <xf numFmtId="0" fontId="0" fillId="3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2" fontId="10" fillId="0" borderId="26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1" fontId="5" fillId="0" borderId="5" xfId="0" applyNumberFormat="1" applyFont="1" applyBorder="1" applyAlignment="1">
      <alignment horizontal="center" vertical="center"/>
    </xf>
    <xf numFmtId="1" fontId="0" fillId="0" borderId="26" xfId="0" applyNumberFormat="1" applyBorder="1" applyAlignment="1">
      <alignment horizontal="center"/>
    </xf>
    <xf numFmtId="1" fontId="5" fillId="0" borderId="7" xfId="0" applyNumberFormat="1" applyFont="1" applyBorder="1" applyAlignment="1">
      <alignment horizontal="center" vertical="center"/>
    </xf>
    <xf numFmtId="1" fontId="0" fillId="0" borderId="26" xfId="0" applyNumberFormat="1" applyBorder="1"/>
    <xf numFmtId="0" fontId="11" fillId="5" borderId="11" xfId="0" applyFont="1" applyFill="1" applyBorder="1" applyAlignment="1">
      <alignment horizontal="center" vertical="center"/>
    </xf>
    <xf numFmtId="1" fontId="11" fillId="5" borderId="11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11" fillId="4" borderId="29" xfId="0" applyFont="1" applyFill="1" applyBorder="1" applyAlignment="1">
      <alignment horizontal="center" vertical="center"/>
    </xf>
    <xf numFmtId="1" fontId="11" fillId="4" borderId="29" xfId="0" applyNumberFormat="1" applyFont="1" applyFill="1" applyBorder="1" applyAlignment="1">
      <alignment horizontal="center" vertical="center"/>
    </xf>
    <xf numFmtId="1" fontId="11" fillId="4" borderId="30" xfId="0" applyNumberFormat="1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1" fontId="11" fillId="4" borderId="11" xfId="0" applyNumberFormat="1" applyFont="1" applyFill="1" applyBorder="1" applyAlignment="1">
      <alignment horizontal="center" vertical="center"/>
    </xf>
    <xf numFmtId="1" fontId="11" fillId="4" borderId="8" xfId="0" applyNumberFormat="1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/>
    </xf>
    <xf numFmtId="0" fontId="1" fillId="2" borderId="22" xfId="0" applyFont="1" applyFill="1" applyBorder="1"/>
    <xf numFmtId="0" fontId="5" fillId="0" borderId="12" xfId="0" applyFont="1" applyBorder="1" applyAlignment="1">
      <alignment horizontal="center"/>
    </xf>
    <xf numFmtId="0" fontId="5" fillId="0" borderId="12" xfId="0" applyFont="1" applyBorder="1"/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center" vertical="center"/>
    </xf>
    <xf numFmtId="0" fontId="12" fillId="6" borderId="20" xfId="0" applyFont="1" applyFill="1" applyBorder="1" applyAlignment="1">
      <alignment horizontal="center" vertical="center"/>
    </xf>
    <xf numFmtId="0" fontId="12" fillId="6" borderId="21" xfId="0" applyFont="1" applyFill="1" applyBorder="1" applyAlignment="1">
      <alignment horizontal="center"/>
    </xf>
    <xf numFmtId="0" fontId="12" fillId="6" borderId="21" xfId="0" applyFont="1" applyFill="1" applyBorder="1" applyAlignment="1">
      <alignment horizontal="center" vertical="center"/>
    </xf>
    <xf numFmtId="0" fontId="12" fillId="6" borderId="22" xfId="0" applyFont="1" applyFill="1" applyBorder="1" applyAlignment="1">
      <alignment horizontal="center" vertical="center"/>
    </xf>
    <xf numFmtId="0" fontId="12" fillId="6" borderId="23" xfId="0" applyFon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1" fillId="8" borderId="19" xfId="0" applyFont="1" applyFill="1" applyBorder="1"/>
    <xf numFmtId="0" fontId="4" fillId="8" borderId="33" xfId="0" applyFont="1" applyFill="1" applyBorder="1" applyAlignment="1">
      <alignment horizontal="center"/>
    </xf>
    <xf numFmtId="0" fontId="4" fillId="8" borderId="27" xfId="0" applyFont="1" applyFill="1" applyBorder="1" applyAlignment="1">
      <alignment horizontal="center"/>
    </xf>
    <xf numFmtId="0" fontId="4" fillId="8" borderId="19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/>
    </xf>
    <xf numFmtId="0" fontId="3" fillId="8" borderId="19" xfId="0" applyFont="1" applyFill="1" applyBorder="1" applyAlignment="1">
      <alignment horizontal="center"/>
    </xf>
    <xf numFmtId="0" fontId="1" fillId="8" borderId="19" xfId="0" applyFont="1" applyFill="1" applyBorder="1" applyAlignment="1">
      <alignment vertical="center"/>
    </xf>
    <xf numFmtId="0" fontId="5" fillId="4" borderId="5" xfId="0" applyFont="1" applyFill="1" applyBorder="1" applyAlignment="1">
      <alignment horizontal="center"/>
    </xf>
    <xf numFmtId="0" fontId="5" fillId="4" borderId="5" xfId="0" applyFont="1" applyFill="1" applyBorder="1"/>
    <xf numFmtId="0" fontId="5" fillId="4" borderId="5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164" fontId="5" fillId="0" borderId="5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0" xfId="0" applyFill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" fontId="5" fillId="0" borderId="19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0" fontId="6" fillId="0" borderId="5" xfId="0" applyFont="1" applyBorder="1"/>
    <xf numFmtId="0" fontId="4" fillId="8" borderId="20" xfId="0" applyFont="1" applyFill="1" applyBorder="1" applyAlignment="1">
      <alignment horizontal="center"/>
    </xf>
    <xf numFmtId="0" fontId="4" fillId="8" borderId="23" xfId="0" applyFont="1" applyFill="1" applyBorder="1" applyAlignment="1">
      <alignment horizontal="center"/>
    </xf>
    <xf numFmtId="0" fontId="4" fillId="8" borderId="21" xfId="0" applyFont="1" applyFill="1" applyBorder="1" applyAlignment="1">
      <alignment horizontal="center"/>
    </xf>
    <xf numFmtId="0" fontId="1" fillId="8" borderId="21" xfId="0" applyFont="1" applyFill="1" applyBorder="1"/>
    <xf numFmtId="0" fontId="1" fillId="8" borderId="21" xfId="0" applyFont="1" applyFill="1" applyBorder="1" applyAlignment="1">
      <alignment horizontal="center"/>
    </xf>
    <xf numFmtId="0" fontId="3" fillId="8" borderId="21" xfId="0" applyFont="1" applyFill="1" applyBorder="1" applyAlignment="1">
      <alignment horizontal="center"/>
    </xf>
    <xf numFmtId="0" fontId="1" fillId="8" borderId="21" xfId="0" applyFont="1" applyFill="1" applyBorder="1" applyAlignment="1">
      <alignment vertical="center"/>
    </xf>
    <xf numFmtId="0" fontId="1" fillId="8" borderId="40" xfId="0" applyFont="1" applyFill="1" applyBorder="1" applyAlignment="1">
      <alignment vertical="center"/>
    </xf>
    <xf numFmtId="0" fontId="4" fillId="8" borderId="22" xfId="0" applyFont="1" applyFill="1" applyBorder="1"/>
    <xf numFmtId="0" fontId="6" fillId="0" borderId="5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5" fillId="0" borderId="11" xfId="0" applyFont="1" applyBorder="1"/>
    <xf numFmtId="1" fontId="5" fillId="0" borderId="7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26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4" borderId="19" xfId="0" applyFont="1" applyFill="1" applyBorder="1" applyAlignment="1">
      <alignment horizontal="center"/>
    </xf>
    <xf numFmtId="0" fontId="5" fillId="4" borderId="26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4" borderId="24" xfId="0" applyFont="1" applyFill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19" xfId="0" applyFont="1" applyBorder="1"/>
    <xf numFmtId="0" fontId="3" fillId="0" borderId="5" xfId="0" applyFont="1" applyBorder="1"/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49" fontId="3" fillId="0" borderId="0" xfId="0" applyNumberFormat="1" applyFont="1"/>
    <xf numFmtId="0" fontId="5" fillId="0" borderId="19" xfId="0" applyFont="1" applyBorder="1" applyAlignment="1">
      <alignment horizontal="left"/>
    </xf>
    <xf numFmtId="0" fontId="1" fillId="2" borderId="16" xfId="0" applyFont="1" applyFill="1" applyBorder="1" applyAlignment="1">
      <alignment horizontal="center"/>
    </xf>
    <xf numFmtId="0" fontId="1" fillId="2" borderId="43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2" xfId="0" applyFont="1" applyFill="1" applyBorder="1"/>
    <xf numFmtId="0" fontId="1" fillId="2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left"/>
    </xf>
    <xf numFmtId="0" fontId="5" fillId="9" borderId="5" xfId="0" applyFont="1" applyFill="1" applyBorder="1"/>
    <xf numFmtId="0" fontId="6" fillId="9" borderId="5" xfId="0" applyFont="1" applyFill="1" applyBorder="1" applyAlignment="1">
      <alignment horizontal="left" vertical="center"/>
    </xf>
    <xf numFmtId="0" fontId="6" fillId="9" borderId="5" xfId="0" applyFont="1" applyFill="1" applyBorder="1" applyAlignment="1">
      <alignment vertical="center"/>
    </xf>
    <xf numFmtId="0" fontId="15" fillId="9" borderId="5" xfId="0" applyFont="1" applyFill="1" applyBorder="1"/>
    <xf numFmtId="0" fontId="15" fillId="9" borderId="5" xfId="0" applyFont="1" applyFill="1" applyBorder="1" applyAlignment="1">
      <alignment vertical="center"/>
    </xf>
    <xf numFmtId="0" fontId="5" fillId="10" borderId="1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/>
    </xf>
    <xf numFmtId="0" fontId="3" fillId="4" borderId="5" xfId="0" applyFont="1" applyFill="1" applyBorder="1"/>
    <xf numFmtId="0" fontId="5" fillId="4" borderId="19" xfId="0" applyFont="1" applyFill="1" applyBorder="1"/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4" fillId="8" borderId="2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4" fillId="8" borderId="34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0" fillId="0" borderId="5" xfId="0" applyBorder="1"/>
    <xf numFmtId="0" fontId="5" fillId="0" borderId="19" xfId="0" applyFont="1" applyBorder="1" applyAlignment="1">
      <alignment horizontal="left" vertical="center"/>
    </xf>
    <xf numFmtId="0" fontId="5" fillId="0" borderId="33" xfId="0" applyFont="1" applyBorder="1" applyAlignment="1">
      <alignment horizontal="center" vertical="center" wrapText="1"/>
    </xf>
    <xf numFmtId="0" fontId="15" fillId="11" borderId="5" xfId="0" applyFont="1" applyFill="1" applyBorder="1"/>
    <xf numFmtId="0" fontId="5" fillId="11" borderId="5" xfId="0" applyFont="1" applyFill="1" applyBorder="1"/>
    <xf numFmtId="0" fontId="6" fillId="11" borderId="5" xfId="0" applyFont="1" applyFill="1" applyBorder="1" applyAlignment="1">
      <alignment horizontal="left" vertical="center"/>
    </xf>
    <xf numFmtId="0" fontId="0" fillId="12" borderId="5" xfId="0" applyFill="1" applyBorder="1"/>
    <xf numFmtId="0" fontId="0" fillId="13" borderId="5" xfId="0" applyFill="1" applyBorder="1"/>
    <xf numFmtId="0" fontId="0" fillId="0" borderId="4" xfId="0" applyBorder="1"/>
    <xf numFmtId="0" fontId="0" fillId="0" borderId="4" xfId="0" applyFill="1" applyBorder="1"/>
    <xf numFmtId="0" fontId="0" fillId="0" borderId="5" xfId="0" applyFill="1" applyBorder="1"/>
    <xf numFmtId="0" fontId="6" fillId="12" borderId="5" xfId="0" applyFont="1" applyFill="1" applyBorder="1" applyAlignment="1" applyProtection="1">
      <alignment vertical="center"/>
    </xf>
    <xf numFmtId="0" fontId="6" fillId="0" borderId="5" xfId="0" applyFont="1" applyFill="1" applyBorder="1" applyAlignment="1" applyProtection="1">
      <alignment vertical="center"/>
    </xf>
    <xf numFmtId="0" fontId="5" fillId="14" borderId="5" xfId="0" applyFont="1" applyFill="1" applyBorder="1" applyAlignment="1">
      <alignment horizontal="left"/>
    </xf>
    <xf numFmtId="0" fontId="5" fillId="14" borderId="5" xfId="0" applyFont="1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0" fillId="14" borderId="5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5" fillId="14" borderId="5" xfId="0" applyFont="1" applyFill="1" applyBorder="1" applyAlignment="1">
      <alignment horizontal="left"/>
    </xf>
    <xf numFmtId="0" fontId="6" fillId="14" borderId="5" xfId="0" applyFont="1" applyFill="1" applyBorder="1"/>
    <xf numFmtId="0" fontId="15" fillId="14" borderId="5" xfId="0" applyFont="1" applyFill="1" applyBorder="1"/>
    <xf numFmtId="0" fontId="5" fillId="14" borderId="5" xfId="0" applyFont="1" applyFill="1" applyBorder="1"/>
    <xf numFmtId="0" fontId="5" fillId="14" borderId="4" xfId="0" applyFont="1" applyFill="1" applyBorder="1"/>
    <xf numFmtId="0" fontId="0" fillId="11" borderId="5" xfId="0" applyFill="1" applyBorder="1" applyAlignment="1">
      <alignment horizontal="center" vertical="center"/>
    </xf>
    <xf numFmtId="0" fontId="0" fillId="14" borderId="5" xfId="0" applyFill="1" applyBorder="1"/>
    <xf numFmtId="0" fontId="0" fillId="14" borderId="5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9" borderId="5" xfId="0" applyFill="1" applyBorder="1"/>
    <xf numFmtId="0" fontId="0" fillId="9" borderId="5" xfId="0" applyFill="1" applyBorder="1" applyAlignment="1">
      <alignment horizontal="center"/>
    </xf>
    <xf numFmtId="0" fontId="0" fillId="9" borderId="26" xfId="0" applyFill="1" applyBorder="1"/>
    <xf numFmtId="0" fontId="0" fillId="3" borderId="5" xfId="0" applyFill="1" applyBorder="1"/>
    <xf numFmtId="0" fontId="0" fillId="3" borderId="5" xfId="0" applyFill="1" applyBorder="1" applyAlignment="1">
      <alignment horizontal="center"/>
    </xf>
    <xf numFmtId="0" fontId="0" fillId="3" borderId="26" xfId="0" applyFill="1" applyBorder="1"/>
    <xf numFmtId="0" fontId="0" fillId="3" borderId="24" xfId="0" applyFill="1" applyBorder="1"/>
    <xf numFmtId="0" fontId="5" fillId="0" borderId="5" xfId="0" applyFont="1" applyFill="1" applyBorder="1"/>
    <xf numFmtId="0" fontId="0" fillId="12" borderId="26" xfId="0" applyFill="1" applyBorder="1"/>
    <xf numFmtId="0" fontId="11" fillId="4" borderId="11" xfId="0" applyFont="1" applyFill="1" applyBorder="1" applyAlignment="1">
      <alignment horizontal="right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1" fillId="4" borderId="36" xfId="0" applyFont="1" applyFill="1" applyBorder="1" applyAlignment="1">
      <alignment horizontal="right" vertical="center"/>
    </xf>
    <xf numFmtId="0" fontId="11" fillId="4" borderId="37" xfId="0" applyFont="1" applyFill="1" applyBorder="1" applyAlignment="1">
      <alignment horizontal="right" vertical="center"/>
    </xf>
    <xf numFmtId="0" fontId="11" fillId="4" borderId="38" xfId="0" applyFont="1" applyFill="1" applyBorder="1" applyAlignment="1">
      <alignment horizontal="right" vertical="center"/>
    </xf>
    <xf numFmtId="0" fontId="11" fillId="5" borderId="14" xfId="0" applyFont="1" applyFill="1" applyBorder="1" applyAlignment="1">
      <alignment horizontal="right" vertical="center"/>
    </xf>
    <xf numFmtId="0" fontId="11" fillId="5" borderId="15" xfId="0" applyFont="1" applyFill="1" applyBorder="1" applyAlignment="1">
      <alignment horizontal="right" vertical="center"/>
    </xf>
    <xf numFmtId="0" fontId="11" fillId="5" borderId="10" xfId="0" applyFont="1" applyFill="1" applyBorder="1" applyAlignment="1">
      <alignment horizontal="right" vertical="center"/>
    </xf>
    <xf numFmtId="0" fontId="13" fillId="7" borderId="31" xfId="0" applyFont="1" applyFill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13" fillId="7" borderId="32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 wrapText="1"/>
    </xf>
    <xf numFmtId="0" fontId="11" fillId="4" borderId="39" xfId="0" applyFont="1" applyFill="1" applyBorder="1" applyAlignment="1">
      <alignment horizontal="right" vertical="center"/>
    </xf>
    <xf numFmtId="0" fontId="11" fillId="4" borderId="15" xfId="0" applyFont="1" applyFill="1" applyBorder="1" applyAlignment="1">
      <alignment horizontal="right" vertical="center"/>
    </xf>
    <xf numFmtId="0" fontId="11" fillId="4" borderId="10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0" fillId="12" borderId="25" xfId="0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0" fillId="13" borderId="24" xfId="0" applyFill="1" applyBorder="1" applyAlignment="1">
      <alignment horizontal="center"/>
    </xf>
    <xf numFmtId="0" fontId="0" fillId="13" borderId="25" xfId="0" applyFill="1" applyBorder="1" applyAlignment="1">
      <alignment horizontal="center"/>
    </xf>
    <xf numFmtId="0" fontId="0" fillId="13" borderId="26" xfId="0" applyFill="1" applyBorder="1" applyAlignment="1">
      <alignment horizontal="center"/>
    </xf>
    <xf numFmtId="0" fontId="0" fillId="4" borderId="5" xfId="0" applyFill="1" applyBorder="1" applyAlignment="1">
      <alignment horizontal="center"/>
    </xf>
  </cellXfs>
  <cellStyles count="1">
    <cellStyle name="Normal" xfId="0" builtinId="0"/>
  </cellStyles>
  <dxfs count="7"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176120</xdr:colOff>
      <xdr:row>38</xdr:row>
      <xdr:rowOff>76809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929720" cy="70262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388064</xdr:colOff>
      <xdr:row>6</xdr:row>
      <xdr:rowOff>53340</xdr:rowOff>
    </xdr:from>
    <xdr:to>
      <xdr:col>32</xdr:col>
      <xdr:colOff>557558</xdr:colOff>
      <xdr:row>45</xdr:row>
      <xdr:rowOff>26368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96544" y="1150620"/>
          <a:ext cx="9923094" cy="71663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2"/>
  <sheetViews>
    <sheetView topLeftCell="A10" zoomScale="85" zoomScaleNormal="85" workbookViewId="0">
      <selection activeCell="D24" sqref="D24"/>
    </sheetView>
  </sheetViews>
  <sheetFormatPr defaultRowHeight="15"/>
  <cols>
    <col min="2" max="2" width="17" style="16" bestFit="1" customWidth="1"/>
    <col min="3" max="3" width="9.28515625" style="16" customWidth="1"/>
    <col min="4" max="4" width="48.85546875" bestFit="1" customWidth="1"/>
    <col min="5" max="5" width="12.140625" style="16" customWidth="1"/>
    <col min="6" max="6" width="17.42578125" style="16" customWidth="1"/>
    <col min="7" max="7" width="16.5703125" style="16" bestFit="1" customWidth="1"/>
    <col min="8" max="8" width="16.7109375" style="24" bestFit="1" customWidth="1"/>
    <col min="9" max="9" width="9.140625" style="16"/>
    <col min="10" max="10" width="14" style="16" bestFit="1" customWidth="1"/>
    <col min="11" max="11" width="11.28515625" bestFit="1" customWidth="1"/>
    <col min="12" max="12" width="23.42578125" customWidth="1"/>
    <col min="239" max="239" width="9.28515625" customWidth="1"/>
    <col min="240" max="240" width="35.5703125" bestFit="1" customWidth="1"/>
    <col min="241" max="243" width="17.42578125" customWidth="1"/>
    <col min="244" max="244" width="16.7109375" bestFit="1" customWidth="1"/>
    <col min="246" max="246" width="12" bestFit="1" customWidth="1"/>
    <col min="495" max="495" width="9.28515625" customWidth="1"/>
    <col min="496" max="496" width="35.5703125" bestFit="1" customWidth="1"/>
    <col min="497" max="499" width="17.42578125" customWidth="1"/>
    <col min="500" max="500" width="16.7109375" bestFit="1" customWidth="1"/>
    <col min="502" max="502" width="12" bestFit="1" customWidth="1"/>
    <col min="751" max="751" width="9.28515625" customWidth="1"/>
    <col min="752" max="752" width="35.5703125" bestFit="1" customWidth="1"/>
    <col min="753" max="755" width="17.42578125" customWidth="1"/>
    <col min="756" max="756" width="16.7109375" bestFit="1" customWidth="1"/>
    <col min="758" max="758" width="12" bestFit="1" customWidth="1"/>
    <col min="1007" max="1007" width="9.28515625" customWidth="1"/>
    <col min="1008" max="1008" width="35.5703125" bestFit="1" customWidth="1"/>
    <col min="1009" max="1011" width="17.42578125" customWidth="1"/>
    <col min="1012" max="1012" width="16.7109375" bestFit="1" customWidth="1"/>
    <col min="1014" max="1014" width="12" bestFit="1" customWidth="1"/>
    <col min="1263" max="1263" width="9.28515625" customWidth="1"/>
    <col min="1264" max="1264" width="35.5703125" bestFit="1" customWidth="1"/>
    <col min="1265" max="1267" width="17.42578125" customWidth="1"/>
    <col min="1268" max="1268" width="16.7109375" bestFit="1" customWidth="1"/>
    <col min="1270" max="1270" width="12" bestFit="1" customWidth="1"/>
    <col min="1519" max="1519" width="9.28515625" customWidth="1"/>
    <col min="1520" max="1520" width="35.5703125" bestFit="1" customWidth="1"/>
    <col min="1521" max="1523" width="17.42578125" customWidth="1"/>
    <col min="1524" max="1524" width="16.7109375" bestFit="1" customWidth="1"/>
    <col min="1526" max="1526" width="12" bestFit="1" customWidth="1"/>
    <col min="1775" max="1775" width="9.28515625" customWidth="1"/>
    <col min="1776" max="1776" width="35.5703125" bestFit="1" customWidth="1"/>
    <col min="1777" max="1779" width="17.42578125" customWidth="1"/>
    <col min="1780" max="1780" width="16.7109375" bestFit="1" customWidth="1"/>
    <col min="1782" max="1782" width="12" bestFit="1" customWidth="1"/>
    <col min="2031" max="2031" width="9.28515625" customWidth="1"/>
    <col min="2032" max="2032" width="35.5703125" bestFit="1" customWidth="1"/>
    <col min="2033" max="2035" width="17.42578125" customWidth="1"/>
    <col min="2036" max="2036" width="16.7109375" bestFit="1" customWidth="1"/>
    <col min="2038" max="2038" width="12" bestFit="1" customWidth="1"/>
    <col min="2287" max="2287" width="9.28515625" customWidth="1"/>
    <col min="2288" max="2288" width="35.5703125" bestFit="1" customWidth="1"/>
    <col min="2289" max="2291" width="17.42578125" customWidth="1"/>
    <col min="2292" max="2292" width="16.7109375" bestFit="1" customWidth="1"/>
    <col min="2294" max="2294" width="12" bestFit="1" customWidth="1"/>
    <col min="2543" max="2543" width="9.28515625" customWidth="1"/>
    <col min="2544" max="2544" width="35.5703125" bestFit="1" customWidth="1"/>
    <col min="2545" max="2547" width="17.42578125" customWidth="1"/>
    <col min="2548" max="2548" width="16.7109375" bestFit="1" customWidth="1"/>
    <col min="2550" max="2550" width="12" bestFit="1" customWidth="1"/>
    <col min="2799" max="2799" width="9.28515625" customWidth="1"/>
    <col min="2800" max="2800" width="35.5703125" bestFit="1" customWidth="1"/>
    <col min="2801" max="2803" width="17.42578125" customWidth="1"/>
    <col min="2804" max="2804" width="16.7109375" bestFit="1" customWidth="1"/>
    <col min="2806" max="2806" width="12" bestFit="1" customWidth="1"/>
    <col min="3055" max="3055" width="9.28515625" customWidth="1"/>
    <col min="3056" max="3056" width="35.5703125" bestFit="1" customWidth="1"/>
    <col min="3057" max="3059" width="17.42578125" customWidth="1"/>
    <col min="3060" max="3060" width="16.7109375" bestFit="1" customWidth="1"/>
    <col min="3062" max="3062" width="12" bestFit="1" customWidth="1"/>
    <col min="3311" max="3311" width="9.28515625" customWidth="1"/>
    <col min="3312" max="3312" width="35.5703125" bestFit="1" customWidth="1"/>
    <col min="3313" max="3315" width="17.42578125" customWidth="1"/>
    <col min="3316" max="3316" width="16.7109375" bestFit="1" customWidth="1"/>
    <col min="3318" max="3318" width="12" bestFit="1" customWidth="1"/>
    <col min="3567" max="3567" width="9.28515625" customWidth="1"/>
    <col min="3568" max="3568" width="35.5703125" bestFit="1" customWidth="1"/>
    <col min="3569" max="3571" width="17.42578125" customWidth="1"/>
    <col min="3572" max="3572" width="16.7109375" bestFit="1" customWidth="1"/>
    <col min="3574" max="3574" width="12" bestFit="1" customWidth="1"/>
    <col min="3823" max="3823" width="9.28515625" customWidth="1"/>
    <col min="3824" max="3824" width="35.5703125" bestFit="1" customWidth="1"/>
    <col min="3825" max="3827" width="17.42578125" customWidth="1"/>
    <col min="3828" max="3828" width="16.7109375" bestFit="1" customWidth="1"/>
    <col min="3830" max="3830" width="12" bestFit="1" customWidth="1"/>
    <col min="4079" max="4079" width="9.28515625" customWidth="1"/>
    <col min="4080" max="4080" width="35.5703125" bestFit="1" customWidth="1"/>
    <col min="4081" max="4083" width="17.42578125" customWidth="1"/>
    <col min="4084" max="4084" width="16.7109375" bestFit="1" customWidth="1"/>
    <col min="4086" max="4086" width="12" bestFit="1" customWidth="1"/>
    <col min="4335" max="4335" width="9.28515625" customWidth="1"/>
    <col min="4336" max="4336" width="35.5703125" bestFit="1" customWidth="1"/>
    <col min="4337" max="4339" width="17.42578125" customWidth="1"/>
    <col min="4340" max="4340" width="16.7109375" bestFit="1" customWidth="1"/>
    <col min="4342" max="4342" width="12" bestFit="1" customWidth="1"/>
    <col min="4591" max="4591" width="9.28515625" customWidth="1"/>
    <col min="4592" max="4592" width="35.5703125" bestFit="1" customWidth="1"/>
    <col min="4593" max="4595" width="17.42578125" customWidth="1"/>
    <col min="4596" max="4596" width="16.7109375" bestFit="1" customWidth="1"/>
    <col min="4598" max="4598" width="12" bestFit="1" customWidth="1"/>
    <col min="4847" max="4847" width="9.28515625" customWidth="1"/>
    <col min="4848" max="4848" width="35.5703125" bestFit="1" customWidth="1"/>
    <col min="4849" max="4851" width="17.42578125" customWidth="1"/>
    <col min="4852" max="4852" width="16.7109375" bestFit="1" customWidth="1"/>
    <col min="4854" max="4854" width="12" bestFit="1" customWidth="1"/>
    <col min="5103" max="5103" width="9.28515625" customWidth="1"/>
    <col min="5104" max="5104" width="35.5703125" bestFit="1" customWidth="1"/>
    <col min="5105" max="5107" width="17.42578125" customWidth="1"/>
    <col min="5108" max="5108" width="16.7109375" bestFit="1" customWidth="1"/>
    <col min="5110" max="5110" width="12" bestFit="1" customWidth="1"/>
    <col min="5359" max="5359" width="9.28515625" customWidth="1"/>
    <col min="5360" max="5360" width="35.5703125" bestFit="1" customWidth="1"/>
    <col min="5361" max="5363" width="17.42578125" customWidth="1"/>
    <col min="5364" max="5364" width="16.7109375" bestFit="1" customWidth="1"/>
    <col min="5366" max="5366" width="12" bestFit="1" customWidth="1"/>
    <col min="5615" max="5615" width="9.28515625" customWidth="1"/>
    <col min="5616" max="5616" width="35.5703125" bestFit="1" customWidth="1"/>
    <col min="5617" max="5619" width="17.42578125" customWidth="1"/>
    <col min="5620" max="5620" width="16.7109375" bestFit="1" customWidth="1"/>
    <col min="5622" max="5622" width="12" bestFit="1" customWidth="1"/>
    <col min="5871" max="5871" width="9.28515625" customWidth="1"/>
    <col min="5872" max="5872" width="35.5703125" bestFit="1" customWidth="1"/>
    <col min="5873" max="5875" width="17.42578125" customWidth="1"/>
    <col min="5876" max="5876" width="16.7109375" bestFit="1" customWidth="1"/>
    <col min="5878" max="5878" width="12" bestFit="1" customWidth="1"/>
    <col min="6127" max="6127" width="9.28515625" customWidth="1"/>
    <col min="6128" max="6128" width="35.5703125" bestFit="1" customWidth="1"/>
    <col min="6129" max="6131" width="17.42578125" customWidth="1"/>
    <col min="6132" max="6132" width="16.7109375" bestFit="1" customWidth="1"/>
    <col min="6134" max="6134" width="12" bestFit="1" customWidth="1"/>
    <col min="6383" max="6383" width="9.28515625" customWidth="1"/>
    <col min="6384" max="6384" width="35.5703125" bestFit="1" customWidth="1"/>
    <col min="6385" max="6387" width="17.42578125" customWidth="1"/>
    <col min="6388" max="6388" width="16.7109375" bestFit="1" customWidth="1"/>
    <col min="6390" max="6390" width="12" bestFit="1" customWidth="1"/>
    <col min="6639" max="6639" width="9.28515625" customWidth="1"/>
    <col min="6640" max="6640" width="35.5703125" bestFit="1" customWidth="1"/>
    <col min="6641" max="6643" width="17.42578125" customWidth="1"/>
    <col min="6644" max="6644" width="16.7109375" bestFit="1" customWidth="1"/>
    <col min="6646" max="6646" width="12" bestFit="1" customWidth="1"/>
    <col min="6895" max="6895" width="9.28515625" customWidth="1"/>
    <col min="6896" max="6896" width="35.5703125" bestFit="1" customWidth="1"/>
    <col min="6897" max="6899" width="17.42578125" customWidth="1"/>
    <col min="6900" max="6900" width="16.7109375" bestFit="1" customWidth="1"/>
    <col min="6902" max="6902" width="12" bestFit="1" customWidth="1"/>
    <col min="7151" max="7151" width="9.28515625" customWidth="1"/>
    <col min="7152" max="7152" width="35.5703125" bestFit="1" customWidth="1"/>
    <col min="7153" max="7155" width="17.42578125" customWidth="1"/>
    <col min="7156" max="7156" width="16.7109375" bestFit="1" customWidth="1"/>
    <col min="7158" max="7158" width="12" bestFit="1" customWidth="1"/>
    <col min="7407" max="7407" width="9.28515625" customWidth="1"/>
    <col min="7408" max="7408" width="35.5703125" bestFit="1" customWidth="1"/>
    <col min="7409" max="7411" width="17.42578125" customWidth="1"/>
    <col min="7412" max="7412" width="16.7109375" bestFit="1" customWidth="1"/>
    <col min="7414" max="7414" width="12" bestFit="1" customWidth="1"/>
    <col min="7663" max="7663" width="9.28515625" customWidth="1"/>
    <col min="7664" max="7664" width="35.5703125" bestFit="1" customWidth="1"/>
    <col min="7665" max="7667" width="17.42578125" customWidth="1"/>
    <col min="7668" max="7668" width="16.7109375" bestFit="1" customWidth="1"/>
    <col min="7670" max="7670" width="12" bestFit="1" customWidth="1"/>
    <col min="7919" max="7919" width="9.28515625" customWidth="1"/>
    <col min="7920" max="7920" width="35.5703125" bestFit="1" customWidth="1"/>
    <col min="7921" max="7923" width="17.42578125" customWidth="1"/>
    <col min="7924" max="7924" width="16.7109375" bestFit="1" customWidth="1"/>
    <col min="7926" max="7926" width="12" bestFit="1" customWidth="1"/>
    <col min="8175" max="8175" width="9.28515625" customWidth="1"/>
    <col min="8176" max="8176" width="35.5703125" bestFit="1" customWidth="1"/>
    <col min="8177" max="8179" width="17.42578125" customWidth="1"/>
    <col min="8180" max="8180" width="16.7109375" bestFit="1" customWidth="1"/>
    <col min="8182" max="8182" width="12" bestFit="1" customWidth="1"/>
    <col min="8431" max="8431" width="9.28515625" customWidth="1"/>
    <col min="8432" max="8432" width="35.5703125" bestFit="1" customWidth="1"/>
    <col min="8433" max="8435" width="17.42578125" customWidth="1"/>
    <col min="8436" max="8436" width="16.7109375" bestFit="1" customWidth="1"/>
    <col min="8438" max="8438" width="12" bestFit="1" customWidth="1"/>
    <col min="8687" max="8687" width="9.28515625" customWidth="1"/>
    <col min="8688" max="8688" width="35.5703125" bestFit="1" customWidth="1"/>
    <col min="8689" max="8691" width="17.42578125" customWidth="1"/>
    <col min="8692" max="8692" width="16.7109375" bestFit="1" customWidth="1"/>
    <col min="8694" max="8694" width="12" bestFit="1" customWidth="1"/>
    <col min="8943" max="8943" width="9.28515625" customWidth="1"/>
    <col min="8944" max="8944" width="35.5703125" bestFit="1" customWidth="1"/>
    <col min="8945" max="8947" width="17.42578125" customWidth="1"/>
    <col min="8948" max="8948" width="16.7109375" bestFit="1" customWidth="1"/>
    <col min="8950" max="8950" width="12" bestFit="1" customWidth="1"/>
    <col min="9199" max="9199" width="9.28515625" customWidth="1"/>
    <col min="9200" max="9200" width="35.5703125" bestFit="1" customWidth="1"/>
    <col min="9201" max="9203" width="17.42578125" customWidth="1"/>
    <col min="9204" max="9204" width="16.7109375" bestFit="1" customWidth="1"/>
    <col min="9206" max="9206" width="12" bestFit="1" customWidth="1"/>
    <col min="9455" max="9455" width="9.28515625" customWidth="1"/>
    <col min="9456" max="9456" width="35.5703125" bestFit="1" customWidth="1"/>
    <col min="9457" max="9459" width="17.42578125" customWidth="1"/>
    <col min="9460" max="9460" width="16.7109375" bestFit="1" customWidth="1"/>
    <col min="9462" max="9462" width="12" bestFit="1" customWidth="1"/>
    <col min="9711" max="9711" width="9.28515625" customWidth="1"/>
    <col min="9712" max="9712" width="35.5703125" bestFit="1" customWidth="1"/>
    <col min="9713" max="9715" width="17.42578125" customWidth="1"/>
    <col min="9716" max="9716" width="16.7109375" bestFit="1" customWidth="1"/>
    <col min="9718" max="9718" width="12" bestFit="1" customWidth="1"/>
    <col min="9967" max="9967" width="9.28515625" customWidth="1"/>
    <col min="9968" max="9968" width="35.5703125" bestFit="1" customWidth="1"/>
    <col min="9969" max="9971" width="17.42578125" customWidth="1"/>
    <col min="9972" max="9972" width="16.7109375" bestFit="1" customWidth="1"/>
    <col min="9974" max="9974" width="12" bestFit="1" customWidth="1"/>
    <col min="10223" max="10223" width="9.28515625" customWidth="1"/>
    <col min="10224" max="10224" width="35.5703125" bestFit="1" customWidth="1"/>
    <col min="10225" max="10227" width="17.42578125" customWidth="1"/>
    <col min="10228" max="10228" width="16.7109375" bestFit="1" customWidth="1"/>
    <col min="10230" max="10230" width="12" bestFit="1" customWidth="1"/>
    <col min="10479" max="10479" width="9.28515625" customWidth="1"/>
    <col min="10480" max="10480" width="35.5703125" bestFit="1" customWidth="1"/>
    <col min="10481" max="10483" width="17.42578125" customWidth="1"/>
    <col min="10484" max="10484" width="16.7109375" bestFit="1" customWidth="1"/>
    <col min="10486" max="10486" width="12" bestFit="1" customWidth="1"/>
    <col min="10735" max="10735" width="9.28515625" customWidth="1"/>
    <col min="10736" max="10736" width="35.5703125" bestFit="1" customWidth="1"/>
    <col min="10737" max="10739" width="17.42578125" customWidth="1"/>
    <col min="10740" max="10740" width="16.7109375" bestFit="1" customWidth="1"/>
    <col min="10742" max="10742" width="12" bestFit="1" customWidth="1"/>
    <col min="10991" max="10991" width="9.28515625" customWidth="1"/>
    <col min="10992" max="10992" width="35.5703125" bestFit="1" customWidth="1"/>
    <col min="10993" max="10995" width="17.42578125" customWidth="1"/>
    <col min="10996" max="10996" width="16.7109375" bestFit="1" customWidth="1"/>
    <col min="10998" max="10998" width="12" bestFit="1" customWidth="1"/>
    <col min="11247" max="11247" width="9.28515625" customWidth="1"/>
    <col min="11248" max="11248" width="35.5703125" bestFit="1" customWidth="1"/>
    <col min="11249" max="11251" width="17.42578125" customWidth="1"/>
    <col min="11252" max="11252" width="16.7109375" bestFit="1" customWidth="1"/>
    <col min="11254" max="11254" width="12" bestFit="1" customWidth="1"/>
    <col min="11503" max="11503" width="9.28515625" customWidth="1"/>
    <col min="11504" max="11504" width="35.5703125" bestFit="1" customWidth="1"/>
    <col min="11505" max="11507" width="17.42578125" customWidth="1"/>
    <col min="11508" max="11508" width="16.7109375" bestFit="1" customWidth="1"/>
    <col min="11510" max="11510" width="12" bestFit="1" customWidth="1"/>
    <col min="11759" max="11759" width="9.28515625" customWidth="1"/>
    <col min="11760" max="11760" width="35.5703125" bestFit="1" customWidth="1"/>
    <col min="11761" max="11763" width="17.42578125" customWidth="1"/>
    <col min="11764" max="11764" width="16.7109375" bestFit="1" customWidth="1"/>
    <col min="11766" max="11766" width="12" bestFit="1" customWidth="1"/>
    <col min="12015" max="12015" width="9.28515625" customWidth="1"/>
    <col min="12016" max="12016" width="35.5703125" bestFit="1" customWidth="1"/>
    <col min="12017" max="12019" width="17.42578125" customWidth="1"/>
    <col min="12020" max="12020" width="16.7109375" bestFit="1" customWidth="1"/>
    <col min="12022" max="12022" width="12" bestFit="1" customWidth="1"/>
    <col min="12271" max="12271" width="9.28515625" customWidth="1"/>
    <col min="12272" max="12272" width="35.5703125" bestFit="1" customWidth="1"/>
    <col min="12273" max="12275" width="17.42578125" customWidth="1"/>
    <col min="12276" max="12276" width="16.7109375" bestFit="1" customWidth="1"/>
    <col min="12278" max="12278" width="12" bestFit="1" customWidth="1"/>
    <col min="12527" max="12527" width="9.28515625" customWidth="1"/>
    <col min="12528" max="12528" width="35.5703125" bestFit="1" customWidth="1"/>
    <col min="12529" max="12531" width="17.42578125" customWidth="1"/>
    <col min="12532" max="12532" width="16.7109375" bestFit="1" customWidth="1"/>
    <col min="12534" max="12534" width="12" bestFit="1" customWidth="1"/>
    <col min="12783" max="12783" width="9.28515625" customWidth="1"/>
    <col min="12784" max="12784" width="35.5703125" bestFit="1" customWidth="1"/>
    <col min="12785" max="12787" width="17.42578125" customWidth="1"/>
    <col min="12788" max="12788" width="16.7109375" bestFit="1" customWidth="1"/>
    <col min="12790" max="12790" width="12" bestFit="1" customWidth="1"/>
    <col min="13039" max="13039" width="9.28515625" customWidth="1"/>
    <col min="13040" max="13040" width="35.5703125" bestFit="1" customWidth="1"/>
    <col min="13041" max="13043" width="17.42578125" customWidth="1"/>
    <col min="13044" max="13044" width="16.7109375" bestFit="1" customWidth="1"/>
    <col min="13046" max="13046" width="12" bestFit="1" customWidth="1"/>
    <col min="13295" max="13295" width="9.28515625" customWidth="1"/>
    <col min="13296" max="13296" width="35.5703125" bestFit="1" customWidth="1"/>
    <col min="13297" max="13299" width="17.42578125" customWidth="1"/>
    <col min="13300" max="13300" width="16.7109375" bestFit="1" customWidth="1"/>
    <col min="13302" max="13302" width="12" bestFit="1" customWidth="1"/>
    <col min="13551" max="13551" width="9.28515625" customWidth="1"/>
    <col min="13552" max="13552" width="35.5703125" bestFit="1" customWidth="1"/>
    <col min="13553" max="13555" width="17.42578125" customWidth="1"/>
    <col min="13556" max="13556" width="16.7109375" bestFit="1" customWidth="1"/>
    <col min="13558" max="13558" width="12" bestFit="1" customWidth="1"/>
    <col min="13807" max="13807" width="9.28515625" customWidth="1"/>
    <col min="13808" max="13808" width="35.5703125" bestFit="1" customWidth="1"/>
    <col min="13809" max="13811" width="17.42578125" customWidth="1"/>
    <col min="13812" max="13812" width="16.7109375" bestFit="1" customWidth="1"/>
    <col min="13814" max="13814" width="12" bestFit="1" customWidth="1"/>
    <col min="14063" max="14063" width="9.28515625" customWidth="1"/>
    <col min="14064" max="14064" width="35.5703125" bestFit="1" customWidth="1"/>
    <col min="14065" max="14067" width="17.42578125" customWidth="1"/>
    <col min="14068" max="14068" width="16.7109375" bestFit="1" customWidth="1"/>
    <col min="14070" max="14070" width="12" bestFit="1" customWidth="1"/>
    <col min="14319" max="14319" width="9.28515625" customWidth="1"/>
    <col min="14320" max="14320" width="35.5703125" bestFit="1" customWidth="1"/>
    <col min="14321" max="14323" width="17.42578125" customWidth="1"/>
    <col min="14324" max="14324" width="16.7109375" bestFit="1" customWidth="1"/>
    <col min="14326" max="14326" width="12" bestFit="1" customWidth="1"/>
    <col min="14575" max="14575" width="9.28515625" customWidth="1"/>
    <col min="14576" max="14576" width="35.5703125" bestFit="1" customWidth="1"/>
    <col min="14577" max="14579" width="17.42578125" customWidth="1"/>
    <col min="14580" max="14580" width="16.7109375" bestFit="1" customWidth="1"/>
    <col min="14582" max="14582" width="12" bestFit="1" customWidth="1"/>
    <col min="14831" max="14831" width="9.28515625" customWidth="1"/>
    <col min="14832" max="14832" width="35.5703125" bestFit="1" customWidth="1"/>
    <col min="14833" max="14835" width="17.42578125" customWidth="1"/>
    <col min="14836" max="14836" width="16.7109375" bestFit="1" customWidth="1"/>
    <col min="14838" max="14838" width="12" bestFit="1" customWidth="1"/>
    <col min="15087" max="15087" width="9.28515625" customWidth="1"/>
    <col min="15088" max="15088" width="35.5703125" bestFit="1" customWidth="1"/>
    <col min="15089" max="15091" width="17.42578125" customWidth="1"/>
    <col min="15092" max="15092" width="16.7109375" bestFit="1" customWidth="1"/>
    <col min="15094" max="15094" width="12" bestFit="1" customWidth="1"/>
    <col min="15343" max="15343" width="9.28515625" customWidth="1"/>
    <col min="15344" max="15344" width="35.5703125" bestFit="1" customWidth="1"/>
    <col min="15345" max="15347" width="17.42578125" customWidth="1"/>
    <col min="15348" max="15348" width="16.7109375" bestFit="1" customWidth="1"/>
    <col min="15350" max="15350" width="12" bestFit="1" customWidth="1"/>
    <col min="15599" max="15599" width="9.28515625" customWidth="1"/>
    <col min="15600" max="15600" width="35.5703125" bestFit="1" customWidth="1"/>
    <col min="15601" max="15603" width="17.42578125" customWidth="1"/>
    <col min="15604" max="15604" width="16.7109375" bestFit="1" customWidth="1"/>
    <col min="15606" max="15606" width="12" bestFit="1" customWidth="1"/>
    <col min="15855" max="15855" width="9.28515625" customWidth="1"/>
    <col min="15856" max="15856" width="35.5703125" bestFit="1" customWidth="1"/>
    <col min="15857" max="15859" width="17.42578125" customWidth="1"/>
    <col min="15860" max="15860" width="16.7109375" bestFit="1" customWidth="1"/>
    <col min="15862" max="15862" width="12" bestFit="1" customWidth="1"/>
    <col min="16111" max="16111" width="9.28515625" customWidth="1"/>
    <col min="16112" max="16112" width="35.5703125" bestFit="1" customWidth="1"/>
    <col min="16113" max="16115" width="17.42578125" customWidth="1"/>
    <col min="16116" max="16116" width="16.7109375" bestFit="1" customWidth="1"/>
    <col min="16118" max="16118" width="12" bestFit="1" customWidth="1"/>
  </cols>
  <sheetData>
    <row r="1" spans="2:10">
      <c r="D1" s="17" t="s">
        <v>0</v>
      </c>
      <c r="E1" s="18">
        <v>0.8</v>
      </c>
      <c r="G1" s="200" t="s">
        <v>1</v>
      </c>
      <c r="H1" s="201"/>
      <c r="I1" s="201"/>
      <c r="J1" s="202"/>
    </row>
    <row r="2" spans="2:10">
      <c r="D2" s="17" t="s">
        <v>2</v>
      </c>
      <c r="E2" s="18">
        <v>0.5</v>
      </c>
      <c r="G2" s="19" t="s">
        <v>3</v>
      </c>
      <c r="H2" s="20">
        <f>SUM(H25,H32)</f>
        <v>19.52</v>
      </c>
      <c r="I2" s="21"/>
      <c r="J2" s="21"/>
    </row>
    <row r="3" spans="2:10">
      <c r="D3" s="17" t="s">
        <v>4</v>
      </c>
      <c r="E3" s="18">
        <v>480</v>
      </c>
      <c r="G3" s="19" t="s">
        <v>5</v>
      </c>
      <c r="H3" s="20">
        <f>(H2/$E$5)</f>
        <v>26.166219839142091</v>
      </c>
      <c r="I3" s="21"/>
      <c r="J3" s="21"/>
    </row>
    <row r="4" spans="2:10">
      <c r="D4" s="17" t="s">
        <v>6</v>
      </c>
      <c r="E4" s="18">
        <v>120</v>
      </c>
      <c r="G4" s="19" t="s">
        <v>7</v>
      </c>
      <c r="H4" s="20">
        <f>(H2*1000)/(1.73*$E$3*$E$2)</f>
        <v>47.01348747591522</v>
      </c>
      <c r="I4" s="21"/>
      <c r="J4" s="21"/>
    </row>
    <row r="5" spans="2:10">
      <c r="D5" s="17" t="s">
        <v>8</v>
      </c>
      <c r="E5" s="18">
        <v>0.746</v>
      </c>
      <c r="F5" s="22"/>
      <c r="G5" s="19" t="s">
        <v>9</v>
      </c>
      <c r="H5" s="20">
        <f>H2*$E$6</f>
        <v>24.4</v>
      </c>
      <c r="I5" s="21"/>
      <c r="J5" s="21"/>
    </row>
    <row r="6" spans="2:10">
      <c r="D6" s="17" t="s">
        <v>10</v>
      </c>
      <c r="E6" s="18">
        <v>1.25</v>
      </c>
      <c r="F6" s="22"/>
      <c r="G6" s="19" t="s">
        <v>11</v>
      </c>
      <c r="H6" s="20">
        <f>H3*$E$6</f>
        <v>32.707774798927616</v>
      </c>
      <c r="I6" s="21"/>
      <c r="J6" s="21"/>
    </row>
    <row r="7" spans="2:10">
      <c r="D7" s="17" t="s">
        <v>12</v>
      </c>
      <c r="E7" s="18">
        <v>0.8</v>
      </c>
      <c r="F7" s="22"/>
      <c r="G7" s="19" t="s">
        <v>13</v>
      </c>
      <c r="H7" s="20">
        <f>H4*$E$6</f>
        <v>58.766859344894023</v>
      </c>
      <c r="I7" s="21"/>
      <c r="J7" s="21"/>
    </row>
    <row r="8" spans="2:10">
      <c r="D8" s="17" t="s">
        <v>14</v>
      </c>
      <c r="E8" s="18">
        <v>230</v>
      </c>
      <c r="F8" s="22"/>
      <c r="H8" s="76"/>
      <c r="I8" s="77"/>
      <c r="J8" s="77"/>
    </row>
    <row r="9" spans="2:10" ht="15.75" thickBot="1">
      <c r="D9" s="23"/>
      <c r="E9" s="22"/>
      <c r="F9" s="22"/>
      <c r="I9" s="25"/>
    </row>
    <row r="10" spans="2:10" ht="16.5" thickBot="1">
      <c r="B10" s="203" t="s">
        <v>15</v>
      </c>
      <c r="C10" s="204"/>
      <c r="D10" s="204"/>
      <c r="E10" s="204"/>
      <c r="F10" s="204"/>
      <c r="G10" s="204"/>
      <c r="H10" s="204"/>
      <c r="I10" s="204"/>
      <c r="J10" s="205"/>
    </row>
    <row r="11" spans="2:10" ht="15.75">
      <c r="B11" s="53" t="s">
        <v>16</v>
      </c>
      <c r="C11" s="57" t="s">
        <v>17</v>
      </c>
      <c r="D11" s="54" t="s">
        <v>18</v>
      </c>
      <c r="E11" s="55" t="s">
        <v>19</v>
      </c>
      <c r="F11" s="55" t="s">
        <v>20</v>
      </c>
      <c r="G11" s="55" t="s">
        <v>21</v>
      </c>
      <c r="H11" s="55" t="s">
        <v>22</v>
      </c>
      <c r="I11" s="55" t="s">
        <v>23</v>
      </c>
      <c r="J11" s="56" t="s">
        <v>24</v>
      </c>
    </row>
    <row r="12" spans="2:10" ht="15.75">
      <c r="B12" s="217" t="s">
        <v>25</v>
      </c>
      <c r="C12" s="26">
        <v>1</v>
      </c>
      <c r="D12" s="96" t="s">
        <v>26</v>
      </c>
      <c r="E12" s="26" t="s">
        <v>27</v>
      </c>
      <c r="F12" s="15" t="s">
        <v>28</v>
      </c>
      <c r="G12" s="27">
        <v>1.5</v>
      </c>
      <c r="H12" s="27">
        <f>G12</f>
        <v>1.5</v>
      </c>
      <c r="I12" s="28">
        <f>H12/$E$5</f>
        <v>2.0107238605898123</v>
      </c>
      <c r="J12" s="73">
        <v>3</v>
      </c>
    </row>
    <row r="13" spans="2:10" ht="15.75">
      <c r="B13" s="218"/>
      <c r="C13" s="26">
        <v>2</v>
      </c>
      <c r="D13" s="96" t="s">
        <v>29</v>
      </c>
      <c r="E13" s="26" t="s">
        <v>30</v>
      </c>
      <c r="F13" s="15" t="s">
        <v>28</v>
      </c>
      <c r="G13" s="27">
        <v>1.5</v>
      </c>
      <c r="H13" s="27">
        <f t="shared" ref="H13:H21" si="0">G13</f>
        <v>1.5</v>
      </c>
      <c r="I13" s="28">
        <f t="shared" ref="I13:I21" si="1">H13/$E$5</f>
        <v>2.0107238605898123</v>
      </c>
      <c r="J13" s="73">
        <v>3</v>
      </c>
    </row>
    <row r="14" spans="2:10" ht="15.75">
      <c r="B14" s="218"/>
      <c r="C14" s="26">
        <v>3</v>
      </c>
      <c r="D14" s="96" t="s">
        <v>31</v>
      </c>
      <c r="E14" s="26" t="s">
        <v>32</v>
      </c>
      <c r="F14" s="15" t="s">
        <v>28</v>
      </c>
      <c r="G14" s="27">
        <v>1.5</v>
      </c>
      <c r="H14" s="27">
        <f t="shared" si="0"/>
        <v>1.5</v>
      </c>
      <c r="I14" s="28">
        <f t="shared" si="1"/>
        <v>2.0107238605898123</v>
      </c>
      <c r="J14" s="73">
        <v>3</v>
      </c>
    </row>
    <row r="15" spans="2:10" ht="15.75">
      <c r="B15" s="218"/>
      <c r="C15" s="26">
        <v>4</v>
      </c>
      <c r="D15" s="96" t="s">
        <v>33</v>
      </c>
      <c r="E15" s="26" t="s">
        <v>34</v>
      </c>
      <c r="F15" s="15" t="s">
        <v>28</v>
      </c>
      <c r="G15" s="27">
        <v>1.5</v>
      </c>
      <c r="H15" s="27">
        <f t="shared" si="0"/>
        <v>1.5</v>
      </c>
      <c r="I15" s="28">
        <f t="shared" si="1"/>
        <v>2.0107238605898123</v>
      </c>
      <c r="J15" s="73">
        <v>3</v>
      </c>
    </row>
    <row r="16" spans="2:10" ht="15.75">
      <c r="B16" s="218"/>
      <c r="C16" s="26">
        <v>5</v>
      </c>
      <c r="D16" s="96" t="s">
        <v>35</v>
      </c>
      <c r="E16" s="26" t="s">
        <v>36</v>
      </c>
      <c r="F16" s="15" t="s">
        <v>28</v>
      </c>
      <c r="G16" s="27">
        <v>1.5</v>
      </c>
      <c r="H16" s="27">
        <f t="shared" si="0"/>
        <v>1.5</v>
      </c>
      <c r="I16" s="28">
        <f t="shared" si="1"/>
        <v>2.0107238605898123</v>
      </c>
      <c r="J16" s="73">
        <v>3</v>
      </c>
    </row>
    <row r="17" spans="2:10" ht="15.75">
      <c r="B17" s="218"/>
      <c r="C17" s="26">
        <v>6</v>
      </c>
      <c r="D17" s="96" t="s">
        <v>37</v>
      </c>
      <c r="E17" s="26" t="s">
        <v>38</v>
      </c>
      <c r="F17" s="15" t="s">
        <v>28</v>
      </c>
      <c r="G17" s="27">
        <v>1.5</v>
      </c>
      <c r="H17" s="27">
        <f t="shared" si="0"/>
        <v>1.5</v>
      </c>
      <c r="I17" s="28">
        <f t="shared" si="1"/>
        <v>2.0107238605898123</v>
      </c>
      <c r="J17" s="73">
        <v>3</v>
      </c>
    </row>
    <row r="18" spans="2:10" ht="15.75">
      <c r="B18" s="218"/>
      <c r="C18" s="26">
        <v>7</v>
      </c>
      <c r="D18" s="96" t="s">
        <v>39</v>
      </c>
      <c r="E18" s="26" t="s">
        <v>40</v>
      </c>
      <c r="F18" s="27" t="s">
        <v>41</v>
      </c>
      <c r="G18" s="27">
        <v>0.75</v>
      </c>
      <c r="H18" s="27">
        <f t="shared" si="0"/>
        <v>0.75</v>
      </c>
      <c r="I18" s="28">
        <f t="shared" si="1"/>
        <v>1.0053619302949062</v>
      </c>
      <c r="J18" s="73">
        <f t="shared" ref="J18:J21" si="2">(H18*1000)/(1.732*$E$1*$E$2*$E$3)</f>
        <v>2.2553406466512698</v>
      </c>
    </row>
    <row r="19" spans="2:10" ht="15.75">
      <c r="B19" s="218"/>
      <c r="C19" s="26">
        <v>8</v>
      </c>
      <c r="D19" s="96" t="s">
        <v>42</v>
      </c>
      <c r="E19" s="26" t="s">
        <v>43</v>
      </c>
      <c r="F19" s="27" t="s">
        <v>41</v>
      </c>
      <c r="G19" s="27">
        <v>0.75</v>
      </c>
      <c r="H19" s="27">
        <f t="shared" si="0"/>
        <v>0.75</v>
      </c>
      <c r="I19" s="28">
        <f t="shared" si="1"/>
        <v>1.0053619302949062</v>
      </c>
      <c r="J19" s="73">
        <f t="shared" si="2"/>
        <v>2.2553406466512698</v>
      </c>
    </row>
    <row r="20" spans="2:10" ht="15.75">
      <c r="B20" s="219"/>
      <c r="C20" s="26">
        <v>9</v>
      </c>
      <c r="D20" s="96" t="s">
        <v>44</v>
      </c>
      <c r="E20" s="70" t="s">
        <v>45</v>
      </c>
      <c r="F20" s="15" t="s">
        <v>46</v>
      </c>
      <c r="G20" s="27">
        <v>2.2000000000000002</v>
      </c>
      <c r="H20" s="27">
        <f t="shared" ref="H20" si="3">G20</f>
        <v>2.2000000000000002</v>
      </c>
      <c r="I20" s="28">
        <f t="shared" ref="I20" si="4">H20/$E$5</f>
        <v>2.9490616621983916</v>
      </c>
      <c r="J20" s="73">
        <f t="shared" ref="J20" si="5">(H20*1000)/(1.732*$E$1*$E$2*$E$3)</f>
        <v>6.6156658968437254</v>
      </c>
    </row>
    <row r="21" spans="2:10" ht="15.75">
      <c r="B21" s="217" t="s">
        <v>47</v>
      </c>
      <c r="C21" s="26">
        <v>10</v>
      </c>
      <c r="D21" s="96" t="s">
        <v>48</v>
      </c>
      <c r="E21" s="70" t="s">
        <v>49</v>
      </c>
      <c r="F21" s="15" t="s">
        <v>28</v>
      </c>
      <c r="G21" s="27">
        <v>1.5</v>
      </c>
      <c r="H21" s="27">
        <f t="shared" si="0"/>
        <v>1.5</v>
      </c>
      <c r="I21" s="28">
        <f t="shared" si="1"/>
        <v>2.0107238605898123</v>
      </c>
      <c r="J21" s="73">
        <f t="shared" si="2"/>
        <v>4.5106812933025395</v>
      </c>
    </row>
    <row r="22" spans="2:10" ht="15.75">
      <c r="B22" s="218"/>
      <c r="C22" s="26">
        <v>11</v>
      </c>
      <c r="D22" s="96" t="s">
        <v>50</v>
      </c>
      <c r="E22" s="70" t="s">
        <v>51</v>
      </c>
      <c r="F22" s="71" t="s">
        <v>41</v>
      </c>
      <c r="G22" s="27">
        <v>0.75</v>
      </c>
      <c r="H22" s="27">
        <f t="shared" ref="H22:H24" si="6">G22</f>
        <v>0.75</v>
      </c>
      <c r="I22" s="28">
        <f t="shared" ref="I22:I24" si="7">H22/$E$5</f>
        <v>1.0053619302949062</v>
      </c>
      <c r="J22" s="73">
        <f t="shared" ref="J22:J24" si="8">(H22*1000)/(1.732*$E$1*$E$2*$E$3)</f>
        <v>2.2553406466512698</v>
      </c>
    </row>
    <row r="23" spans="2:10" ht="15.75">
      <c r="B23" s="218"/>
      <c r="C23" s="26">
        <v>12</v>
      </c>
      <c r="D23" s="96" t="s">
        <v>52</v>
      </c>
      <c r="E23" s="70" t="s">
        <v>53</v>
      </c>
      <c r="F23" s="71" t="s">
        <v>54</v>
      </c>
      <c r="G23" s="27">
        <v>0.37</v>
      </c>
      <c r="H23" s="27">
        <f t="shared" si="6"/>
        <v>0.37</v>
      </c>
      <c r="I23" s="28">
        <f t="shared" si="7"/>
        <v>0.49597855227882037</v>
      </c>
      <c r="J23" s="73">
        <f t="shared" si="8"/>
        <v>1.1126347190146264</v>
      </c>
    </row>
    <row r="24" spans="2:10" ht="15.75">
      <c r="B24" s="219"/>
      <c r="C24" s="26">
        <v>13</v>
      </c>
      <c r="D24" s="96" t="s">
        <v>55</v>
      </c>
      <c r="E24" s="70" t="s">
        <v>56</v>
      </c>
      <c r="F24" s="71" t="s">
        <v>57</v>
      </c>
      <c r="G24" s="27">
        <v>2.2000000000000002</v>
      </c>
      <c r="H24" s="27">
        <f t="shared" si="6"/>
        <v>2.2000000000000002</v>
      </c>
      <c r="I24" s="28">
        <f t="shared" si="7"/>
        <v>2.9490616621983916</v>
      </c>
      <c r="J24" s="73">
        <f t="shared" si="8"/>
        <v>6.6156658968437254</v>
      </c>
    </row>
    <row r="25" spans="2:10" ht="16.5" thickBot="1">
      <c r="B25" s="38"/>
      <c r="C25" s="206" t="s">
        <v>58</v>
      </c>
      <c r="D25" s="207"/>
      <c r="E25" s="208"/>
      <c r="F25" s="39"/>
      <c r="G25" s="40">
        <f>SUM(G12:G24)</f>
        <v>17.52</v>
      </c>
      <c r="H25" s="40">
        <f>SUM(H12:H24)</f>
        <v>17.52</v>
      </c>
      <c r="I25" s="40">
        <f>SUM(I12:I24)</f>
        <v>23.485254691689015</v>
      </c>
      <c r="J25" s="41">
        <f>SUM(J12:J24)</f>
        <v>43.620669745958423</v>
      </c>
    </row>
    <row r="26" spans="2:10" ht="15.75" thickBot="1">
      <c r="B26" s="212" t="s">
        <v>59</v>
      </c>
      <c r="C26" s="213"/>
      <c r="D26" s="213"/>
      <c r="E26" s="213"/>
      <c r="F26" s="213"/>
      <c r="G26" s="213"/>
      <c r="H26" s="213"/>
      <c r="I26" s="213"/>
      <c r="J26" s="214"/>
    </row>
    <row r="27" spans="2:10" ht="15.75">
      <c r="B27" s="53" t="s">
        <v>16</v>
      </c>
      <c r="C27" s="57" t="s">
        <v>17</v>
      </c>
      <c r="D27" s="54" t="s">
        <v>18</v>
      </c>
      <c r="E27" s="55" t="s">
        <v>19</v>
      </c>
      <c r="F27" s="55" t="s">
        <v>60</v>
      </c>
      <c r="G27" s="55" t="s">
        <v>21</v>
      </c>
      <c r="H27" s="55" t="s">
        <v>22</v>
      </c>
      <c r="I27" s="55" t="s">
        <v>23</v>
      </c>
      <c r="J27" s="56" t="s">
        <v>24</v>
      </c>
    </row>
    <row r="28" spans="2:10" ht="15.75">
      <c r="B28" s="215" t="s">
        <v>61</v>
      </c>
      <c r="C28" s="26">
        <v>1</v>
      </c>
      <c r="D28" s="30" t="s">
        <v>62</v>
      </c>
      <c r="E28" s="27" t="s">
        <v>63</v>
      </c>
      <c r="F28" s="27"/>
      <c r="G28" s="73">
        <v>0.5</v>
      </c>
      <c r="H28" s="28">
        <f>G28</f>
        <v>0.5</v>
      </c>
      <c r="I28" s="31">
        <f>H28/$E$5</f>
        <v>0.67024128686327078</v>
      </c>
      <c r="J28" s="101">
        <f>(H28*1000/E8)/E1</f>
        <v>2.7173913043478257</v>
      </c>
    </row>
    <row r="29" spans="2:10" ht="15.75">
      <c r="B29" s="216"/>
      <c r="C29" s="26">
        <v>2</v>
      </c>
      <c r="D29" s="30" t="s">
        <v>64</v>
      </c>
      <c r="E29" s="27" t="s">
        <v>65</v>
      </c>
      <c r="F29" s="27"/>
      <c r="G29" s="73">
        <v>0.5</v>
      </c>
      <c r="H29" s="28">
        <f t="shared" ref="H29:H31" si="9">G29</f>
        <v>0.5</v>
      </c>
      <c r="I29" s="31">
        <f t="shared" ref="I29:I30" si="10">H29/$E$5</f>
        <v>0.67024128686327078</v>
      </c>
      <c r="J29" s="101">
        <f>(H29*1000/E8)/E1</f>
        <v>2.7173913043478257</v>
      </c>
    </row>
    <row r="30" spans="2:10" ht="15.75">
      <c r="B30" s="216"/>
      <c r="C30" s="26">
        <v>3</v>
      </c>
      <c r="D30" s="30" t="s">
        <v>66</v>
      </c>
      <c r="E30" s="27" t="s">
        <v>67</v>
      </c>
      <c r="F30" s="27"/>
      <c r="G30" s="73">
        <v>0.5</v>
      </c>
      <c r="H30" s="28">
        <f t="shared" si="9"/>
        <v>0.5</v>
      </c>
      <c r="I30" s="31">
        <f t="shared" si="10"/>
        <v>0.67024128686327078</v>
      </c>
      <c r="J30" s="101">
        <f>(H30*1000/E8)/E1</f>
        <v>2.7173913043478257</v>
      </c>
    </row>
    <row r="31" spans="2:10" ht="31.5">
      <c r="B31" s="165" t="s">
        <v>68</v>
      </c>
      <c r="C31" s="26">
        <v>4</v>
      </c>
      <c r="D31" s="30" t="s">
        <v>69</v>
      </c>
      <c r="E31" s="27" t="s">
        <v>70</v>
      </c>
      <c r="F31" s="27"/>
      <c r="G31" s="73">
        <v>0.5</v>
      </c>
      <c r="H31" s="28">
        <f t="shared" si="9"/>
        <v>0.5</v>
      </c>
      <c r="I31" s="31">
        <f t="shared" ref="I31" si="11">H31/$E$5</f>
        <v>0.67024128686327078</v>
      </c>
      <c r="J31" s="101">
        <f>(H31*1000/E8)/E1</f>
        <v>2.7173913043478257</v>
      </c>
    </row>
    <row r="32" spans="2:10" ht="16.5" thickBot="1">
      <c r="B32" s="42"/>
      <c r="C32" s="199" t="s">
        <v>58</v>
      </c>
      <c r="D32" s="199"/>
      <c r="E32" s="199"/>
      <c r="F32" s="43"/>
      <c r="G32" s="44">
        <f>SUM(G28:G31)</f>
        <v>2</v>
      </c>
      <c r="H32" s="44">
        <f>SUM(H28:H31)</f>
        <v>2</v>
      </c>
      <c r="I32" s="44">
        <f>SUM(I28:I31)</f>
        <v>2.6809651474530831</v>
      </c>
      <c r="J32" s="45">
        <f>SUM(J28:J31)</f>
        <v>10.869565217391303</v>
      </c>
    </row>
    <row r="33" spans="2:12" ht="16.5" thickBot="1">
      <c r="B33" s="209" t="s">
        <v>71</v>
      </c>
      <c r="C33" s="210"/>
      <c r="D33" s="210"/>
      <c r="E33" s="211"/>
      <c r="F33" s="35"/>
      <c r="G33" s="36">
        <f>H5</f>
        <v>24.4</v>
      </c>
      <c r="H33" s="36">
        <f>H5</f>
        <v>24.4</v>
      </c>
      <c r="I33" s="36">
        <f>H6</f>
        <v>32.707774798927616</v>
      </c>
      <c r="J33" s="36">
        <f>H7</f>
        <v>58.766859344894023</v>
      </c>
    </row>
    <row r="34" spans="2:12" ht="15.75" thickBot="1">
      <c r="B34" s="212" t="s">
        <v>72</v>
      </c>
      <c r="C34" s="213"/>
      <c r="D34" s="213"/>
      <c r="E34" s="213"/>
      <c r="F34" s="213"/>
      <c r="G34" s="213"/>
      <c r="H34" s="213"/>
      <c r="I34" s="213"/>
      <c r="J34" s="214"/>
    </row>
    <row r="35" spans="2:12" ht="15.75">
      <c r="B35" s="53" t="s">
        <v>16</v>
      </c>
      <c r="C35" s="57" t="s">
        <v>17</v>
      </c>
      <c r="D35" s="54" t="s">
        <v>18</v>
      </c>
      <c r="E35" s="55" t="s">
        <v>19</v>
      </c>
      <c r="F35" s="55" t="s">
        <v>60</v>
      </c>
      <c r="G35" s="55" t="s">
        <v>21</v>
      </c>
      <c r="H35" s="55" t="s">
        <v>22</v>
      </c>
      <c r="I35" s="55" t="s">
        <v>23</v>
      </c>
      <c r="J35" s="56" t="s">
        <v>24</v>
      </c>
      <c r="K35" s="29" t="s">
        <v>73</v>
      </c>
    </row>
    <row r="36" spans="2:12" ht="15.75">
      <c r="B36" s="220" t="s">
        <v>74</v>
      </c>
      <c r="C36" s="26">
        <v>1</v>
      </c>
      <c r="D36" s="96" t="s">
        <v>75</v>
      </c>
      <c r="E36" s="27" t="s">
        <v>76</v>
      </c>
      <c r="F36" s="27">
        <v>3</v>
      </c>
      <c r="G36" s="102">
        <v>3</v>
      </c>
      <c r="H36" s="27">
        <v>3</v>
      </c>
      <c r="I36" s="31">
        <f>H36/$E$5</f>
        <v>4.0214477211796247</v>
      </c>
      <c r="J36" s="33">
        <f>(H36*1000/E4)/E1</f>
        <v>31.25</v>
      </c>
      <c r="K36" s="32">
        <f>J36</f>
        <v>31.25</v>
      </c>
    </row>
    <row r="37" spans="2:12" ht="15.75">
      <c r="B37" s="221"/>
      <c r="C37" s="26"/>
      <c r="D37" s="96" t="s">
        <v>77</v>
      </c>
      <c r="E37" s="27"/>
      <c r="F37" s="27"/>
      <c r="G37" s="27"/>
      <c r="H37" s="27"/>
      <c r="I37" s="31"/>
      <c r="J37" s="33"/>
      <c r="K37" s="34"/>
    </row>
    <row r="38" spans="2:12" ht="15.75">
      <c r="B38" s="221"/>
      <c r="C38" s="82"/>
      <c r="D38" s="103" t="s">
        <v>78</v>
      </c>
      <c r="E38" s="83"/>
      <c r="F38" s="83"/>
      <c r="G38" s="83"/>
      <c r="H38" s="83"/>
      <c r="I38" s="84"/>
      <c r="J38" s="85"/>
      <c r="K38" s="34"/>
    </row>
    <row r="39" spans="2:12" ht="15.75">
      <c r="B39" s="222"/>
      <c r="C39" s="82"/>
      <c r="D39" s="103" t="s">
        <v>79</v>
      </c>
      <c r="E39" s="83"/>
      <c r="F39" s="83"/>
      <c r="G39" s="83"/>
      <c r="H39" s="83"/>
      <c r="I39" s="84"/>
      <c r="J39" s="85"/>
      <c r="K39" s="34"/>
    </row>
    <row r="40" spans="2:12" ht="15.75">
      <c r="B40" s="223" t="s">
        <v>61</v>
      </c>
      <c r="C40" s="82"/>
      <c r="D40" s="164" t="s">
        <v>80</v>
      </c>
      <c r="E40" s="27" t="s">
        <v>81</v>
      </c>
      <c r="F40" s="27"/>
      <c r="G40" s="102">
        <v>1</v>
      </c>
      <c r="H40" s="28">
        <f>G40</f>
        <v>1</v>
      </c>
      <c r="I40" s="31">
        <f>H40/$E$5</f>
        <v>1.3404825737265416</v>
      </c>
      <c r="J40" s="33">
        <f>(H40*1000/$E$8)/$E$5</f>
        <v>5.8281851031588756</v>
      </c>
      <c r="K40" s="32">
        <f>J40</f>
        <v>5.8281851031588756</v>
      </c>
    </row>
    <row r="41" spans="2:12" ht="15.75">
      <c r="B41" s="221"/>
      <c r="C41" s="82"/>
      <c r="D41" s="164" t="s">
        <v>82</v>
      </c>
      <c r="E41" s="83"/>
      <c r="F41" s="27"/>
      <c r="G41" s="102">
        <v>0.5</v>
      </c>
      <c r="H41" s="28">
        <f t="shared" ref="H41:H43" si="12">G41</f>
        <v>0.5</v>
      </c>
      <c r="I41" s="31">
        <f t="shared" ref="I41:I43" si="13">H41/$E$5</f>
        <v>0.67024128686327078</v>
      </c>
      <c r="J41" s="33">
        <f t="shared" ref="J41:J43" si="14">(H41*1000/$E$8)/$E$5</f>
        <v>2.9140925515794378</v>
      </c>
      <c r="K41" s="32">
        <f t="shared" ref="K41:K43" si="15">J41</f>
        <v>2.9140925515794378</v>
      </c>
    </row>
    <row r="42" spans="2:12" ht="15.75">
      <c r="B42" s="221"/>
      <c r="C42" s="82"/>
      <c r="D42" s="164" t="s">
        <v>83</v>
      </c>
      <c r="E42" s="83"/>
      <c r="F42" s="27"/>
      <c r="G42" s="102">
        <v>1</v>
      </c>
      <c r="H42" s="28">
        <f t="shared" si="12"/>
        <v>1</v>
      </c>
      <c r="I42" s="31">
        <f t="shared" si="13"/>
        <v>1.3404825737265416</v>
      </c>
      <c r="J42" s="33">
        <f t="shared" si="14"/>
        <v>5.8281851031588756</v>
      </c>
      <c r="K42" s="32">
        <f t="shared" si="15"/>
        <v>5.8281851031588756</v>
      </c>
    </row>
    <row r="43" spans="2:12" ht="15.75">
      <c r="B43" s="222"/>
      <c r="C43" s="82"/>
      <c r="D43" s="164" t="s">
        <v>84</v>
      </c>
      <c r="E43" s="83"/>
      <c r="F43" s="27"/>
      <c r="G43" s="102">
        <v>0.5</v>
      </c>
      <c r="H43" s="28">
        <f t="shared" si="12"/>
        <v>0.5</v>
      </c>
      <c r="I43" s="31">
        <f t="shared" si="13"/>
        <v>0.67024128686327078</v>
      </c>
      <c r="J43" s="33">
        <f t="shared" si="14"/>
        <v>2.9140925515794378</v>
      </c>
      <c r="K43" s="32">
        <f t="shared" si="15"/>
        <v>2.9140925515794378</v>
      </c>
    </row>
    <row r="44" spans="2:12" ht="15.75">
      <c r="B44" s="223" t="s">
        <v>85</v>
      </c>
      <c r="C44" s="82"/>
      <c r="D44" s="96" t="s">
        <v>86</v>
      </c>
      <c r="E44" s="26" t="s">
        <v>87</v>
      </c>
      <c r="F44" s="27" t="s">
        <v>88</v>
      </c>
      <c r="G44" s="27">
        <v>0.2</v>
      </c>
      <c r="H44" s="27">
        <f>G44</f>
        <v>0.2</v>
      </c>
      <c r="I44" s="28">
        <f>H44/$E$5</f>
        <v>0.26809651474530832</v>
      </c>
      <c r="J44" s="73">
        <f>(H44*1000)/(1.732*$E$1*$E$2*$E$3)</f>
        <v>0.60142417244033863</v>
      </c>
      <c r="K44" t="s">
        <v>89</v>
      </c>
      <c r="L44" t="s">
        <v>90</v>
      </c>
    </row>
    <row r="45" spans="2:12" ht="15.75">
      <c r="B45" s="222"/>
      <c r="C45" s="82"/>
      <c r="D45" s="96" t="s">
        <v>91</v>
      </c>
      <c r="E45" s="26" t="s">
        <v>92</v>
      </c>
      <c r="F45" s="27" t="s">
        <v>88</v>
      </c>
      <c r="G45" s="27">
        <v>0.2</v>
      </c>
      <c r="H45" s="27">
        <f>G45</f>
        <v>0.2</v>
      </c>
      <c r="I45" s="28">
        <f>H45/$E$5</f>
        <v>0.26809651474530832</v>
      </c>
      <c r="J45" s="73">
        <f>(H45*1000)/(1.732*$E$1*$E$2*$E$3)</f>
        <v>0.60142417244033863</v>
      </c>
      <c r="K45" t="s">
        <v>89</v>
      </c>
      <c r="L45" t="s">
        <v>90</v>
      </c>
    </row>
    <row r="46" spans="2:12" ht="16.5" thickBot="1">
      <c r="B46" s="42"/>
      <c r="C46" s="199" t="s">
        <v>58</v>
      </c>
      <c r="D46" s="199"/>
      <c r="E46" s="199"/>
      <c r="F46" s="43"/>
      <c r="G46" s="44">
        <f>SUM(G36:G37)</f>
        <v>3</v>
      </c>
      <c r="H46" s="44">
        <f>SUM(H36:H37)</f>
        <v>3</v>
      </c>
      <c r="I46" s="44">
        <f>SUM(I36:I37)</f>
        <v>4.0214477211796247</v>
      </c>
      <c r="J46" s="45">
        <f>SUM(J36:J37)</f>
        <v>31.25</v>
      </c>
      <c r="K46" s="34"/>
    </row>
    <row r="47" spans="2:12">
      <c r="B47"/>
      <c r="C47" s="1"/>
      <c r="E47" s="1"/>
      <c r="F47" s="1"/>
      <c r="G47" s="1"/>
      <c r="H47" s="1"/>
      <c r="I47" s="1"/>
      <c r="J47" s="1"/>
    </row>
    <row r="48" spans="2:12">
      <c r="I48" s="37"/>
      <c r="J48" s="37"/>
    </row>
    <row r="72" spans="11:11">
      <c r="K72" t="s">
        <v>93</v>
      </c>
    </row>
  </sheetData>
  <mergeCells count="14">
    <mergeCell ref="C46:E46"/>
    <mergeCell ref="G1:J1"/>
    <mergeCell ref="B10:J10"/>
    <mergeCell ref="C25:E25"/>
    <mergeCell ref="B33:E33"/>
    <mergeCell ref="B34:J34"/>
    <mergeCell ref="B26:J26"/>
    <mergeCell ref="B28:B30"/>
    <mergeCell ref="C32:E32"/>
    <mergeCell ref="B21:B24"/>
    <mergeCell ref="B36:B39"/>
    <mergeCell ref="B12:B20"/>
    <mergeCell ref="B40:B43"/>
    <mergeCell ref="B44:B45"/>
  </mergeCells>
  <dataValidations count="5">
    <dataValidation type="decimal" operator="equal" allowBlank="1" showInputMessage="1" showErrorMessage="1" sqref="H36:H43 H28:H31">
      <formula1>G28</formula1>
    </dataValidation>
    <dataValidation type="decimal" operator="equal" allowBlank="1" showInputMessage="1" showErrorMessage="1" sqref="I28:I31 I36:I43">
      <formula1>H28/$E$5</formula1>
    </dataValidation>
    <dataValidation type="decimal" operator="equal" allowBlank="1" showInputMessage="1" showErrorMessage="1" sqref="J37:J39">
      <formula1>(G37*1000)/(1.73*$E$3)</formula1>
    </dataValidation>
    <dataValidation type="whole" allowBlank="1" showDropDown="1" showInputMessage="1" showErrorMessage="1" sqref="I12:I24 I44:I45">
      <formula1>H12/$E$5</formula1>
      <formula2>H12/$E$5</formula2>
    </dataValidation>
    <dataValidation type="list" allowBlank="1" showDropDown="1" showInputMessage="1" showErrorMessage="1" promptTitle="Calculation " sqref="H12:H24 H44:H45">
      <formula1>G12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7"/>
  <sheetViews>
    <sheetView workbookViewId="0">
      <selection activeCell="D7" sqref="D7"/>
    </sheetView>
  </sheetViews>
  <sheetFormatPr defaultRowHeight="15"/>
  <cols>
    <col min="2" max="2" width="17" style="16" bestFit="1" customWidth="1"/>
    <col min="3" max="3" width="9.28515625" style="16" customWidth="1"/>
    <col min="4" max="4" width="48.85546875" bestFit="1" customWidth="1"/>
    <col min="5" max="5" width="12.140625" style="16" customWidth="1"/>
    <col min="6" max="6" width="17.42578125" style="16" customWidth="1"/>
    <col min="7" max="7" width="16.5703125" style="16" bestFit="1" customWidth="1"/>
    <col min="8" max="8" width="16.7109375" style="24" bestFit="1" customWidth="1"/>
    <col min="9" max="9" width="8.85546875" style="16"/>
    <col min="10" max="10" width="14" style="16" bestFit="1" customWidth="1"/>
    <col min="11" max="11" width="11.28515625" bestFit="1" customWidth="1"/>
    <col min="12" max="12" width="3.85546875" customWidth="1"/>
    <col min="239" max="239" width="9.28515625" customWidth="1"/>
    <col min="240" max="240" width="35.5703125" bestFit="1" customWidth="1"/>
    <col min="241" max="243" width="17.42578125" customWidth="1"/>
    <col min="244" max="244" width="16.7109375" bestFit="1" customWidth="1"/>
    <col min="246" max="246" width="12" bestFit="1" customWidth="1"/>
    <col min="495" max="495" width="9.28515625" customWidth="1"/>
    <col min="496" max="496" width="35.5703125" bestFit="1" customWidth="1"/>
    <col min="497" max="499" width="17.42578125" customWidth="1"/>
    <col min="500" max="500" width="16.7109375" bestFit="1" customWidth="1"/>
    <col min="502" max="502" width="12" bestFit="1" customWidth="1"/>
    <col min="751" max="751" width="9.28515625" customWidth="1"/>
    <col min="752" max="752" width="35.5703125" bestFit="1" customWidth="1"/>
    <col min="753" max="755" width="17.42578125" customWidth="1"/>
    <col min="756" max="756" width="16.7109375" bestFit="1" customWidth="1"/>
    <col min="758" max="758" width="12" bestFit="1" customWidth="1"/>
    <col min="1007" max="1007" width="9.28515625" customWidth="1"/>
    <col min="1008" max="1008" width="35.5703125" bestFit="1" customWidth="1"/>
    <col min="1009" max="1011" width="17.42578125" customWidth="1"/>
    <col min="1012" max="1012" width="16.7109375" bestFit="1" customWidth="1"/>
    <col min="1014" max="1014" width="12" bestFit="1" customWidth="1"/>
    <col min="1263" max="1263" width="9.28515625" customWidth="1"/>
    <col min="1264" max="1264" width="35.5703125" bestFit="1" customWidth="1"/>
    <col min="1265" max="1267" width="17.42578125" customWidth="1"/>
    <col min="1268" max="1268" width="16.7109375" bestFit="1" customWidth="1"/>
    <col min="1270" max="1270" width="12" bestFit="1" customWidth="1"/>
    <col min="1519" max="1519" width="9.28515625" customWidth="1"/>
    <col min="1520" max="1520" width="35.5703125" bestFit="1" customWidth="1"/>
    <col min="1521" max="1523" width="17.42578125" customWidth="1"/>
    <col min="1524" max="1524" width="16.7109375" bestFit="1" customWidth="1"/>
    <col min="1526" max="1526" width="12" bestFit="1" customWidth="1"/>
    <col min="1775" max="1775" width="9.28515625" customWidth="1"/>
    <col min="1776" max="1776" width="35.5703125" bestFit="1" customWidth="1"/>
    <col min="1777" max="1779" width="17.42578125" customWidth="1"/>
    <col min="1780" max="1780" width="16.7109375" bestFit="1" customWidth="1"/>
    <col min="1782" max="1782" width="12" bestFit="1" customWidth="1"/>
    <col min="2031" max="2031" width="9.28515625" customWidth="1"/>
    <col min="2032" max="2032" width="35.5703125" bestFit="1" customWidth="1"/>
    <col min="2033" max="2035" width="17.42578125" customWidth="1"/>
    <col min="2036" max="2036" width="16.7109375" bestFit="1" customWidth="1"/>
    <col min="2038" max="2038" width="12" bestFit="1" customWidth="1"/>
    <col min="2287" max="2287" width="9.28515625" customWidth="1"/>
    <col min="2288" max="2288" width="35.5703125" bestFit="1" customWidth="1"/>
    <col min="2289" max="2291" width="17.42578125" customWidth="1"/>
    <col min="2292" max="2292" width="16.7109375" bestFit="1" customWidth="1"/>
    <col min="2294" max="2294" width="12" bestFit="1" customWidth="1"/>
    <col min="2543" max="2543" width="9.28515625" customWidth="1"/>
    <col min="2544" max="2544" width="35.5703125" bestFit="1" customWidth="1"/>
    <col min="2545" max="2547" width="17.42578125" customWidth="1"/>
    <col min="2548" max="2548" width="16.7109375" bestFit="1" customWidth="1"/>
    <col min="2550" max="2550" width="12" bestFit="1" customWidth="1"/>
    <col min="2799" max="2799" width="9.28515625" customWidth="1"/>
    <col min="2800" max="2800" width="35.5703125" bestFit="1" customWidth="1"/>
    <col min="2801" max="2803" width="17.42578125" customWidth="1"/>
    <col min="2804" max="2804" width="16.7109375" bestFit="1" customWidth="1"/>
    <col min="2806" max="2806" width="12" bestFit="1" customWidth="1"/>
    <col min="3055" max="3055" width="9.28515625" customWidth="1"/>
    <col min="3056" max="3056" width="35.5703125" bestFit="1" customWidth="1"/>
    <col min="3057" max="3059" width="17.42578125" customWidth="1"/>
    <col min="3060" max="3060" width="16.7109375" bestFit="1" customWidth="1"/>
    <col min="3062" max="3062" width="12" bestFit="1" customWidth="1"/>
    <col min="3311" max="3311" width="9.28515625" customWidth="1"/>
    <col min="3312" max="3312" width="35.5703125" bestFit="1" customWidth="1"/>
    <col min="3313" max="3315" width="17.42578125" customWidth="1"/>
    <col min="3316" max="3316" width="16.7109375" bestFit="1" customWidth="1"/>
    <col min="3318" max="3318" width="12" bestFit="1" customWidth="1"/>
    <col min="3567" max="3567" width="9.28515625" customWidth="1"/>
    <col min="3568" max="3568" width="35.5703125" bestFit="1" customWidth="1"/>
    <col min="3569" max="3571" width="17.42578125" customWidth="1"/>
    <col min="3572" max="3572" width="16.7109375" bestFit="1" customWidth="1"/>
    <col min="3574" max="3574" width="12" bestFit="1" customWidth="1"/>
    <col min="3823" max="3823" width="9.28515625" customWidth="1"/>
    <col min="3824" max="3824" width="35.5703125" bestFit="1" customWidth="1"/>
    <col min="3825" max="3827" width="17.42578125" customWidth="1"/>
    <col min="3828" max="3828" width="16.7109375" bestFit="1" customWidth="1"/>
    <col min="3830" max="3830" width="12" bestFit="1" customWidth="1"/>
    <col min="4079" max="4079" width="9.28515625" customWidth="1"/>
    <col min="4080" max="4080" width="35.5703125" bestFit="1" customWidth="1"/>
    <col min="4081" max="4083" width="17.42578125" customWidth="1"/>
    <col min="4084" max="4084" width="16.7109375" bestFit="1" customWidth="1"/>
    <col min="4086" max="4086" width="12" bestFit="1" customWidth="1"/>
    <col min="4335" max="4335" width="9.28515625" customWidth="1"/>
    <col min="4336" max="4336" width="35.5703125" bestFit="1" customWidth="1"/>
    <col min="4337" max="4339" width="17.42578125" customWidth="1"/>
    <col min="4340" max="4340" width="16.7109375" bestFit="1" customWidth="1"/>
    <col min="4342" max="4342" width="12" bestFit="1" customWidth="1"/>
    <col min="4591" max="4591" width="9.28515625" customWidth="1"/>
    <col min="4592" max="4592" width="35.5703125" bestFit="1" customWidth="1"/>
    <col min="4593" max="4595" width="17.42578125" customWidth="1"/>
    <col min="4596" max="4596" width="16.7109375" bestFit="1" customWidth="1"/>
    <col min="4598" max="4598" width="12" bestFit="1" customWidth="1"/>
    <col min="4847" max="4847" width="9.28515625" customWidth="1"/>
    <col min="4848" max="4848" width="35.5703125" bestFit="1" customWidth="1"/>
    <col min="4849" max="4851" width="17.42578125" customWidth="1"/>
    <col min="4852" max="4852" width="16.7109375" bestFit="1" customWidth="1"/>
    <col min="4854" max="4854" width="12" bestFit="1" customWidth="1"/>
    <col min="5103" max="5103" width="9.28515625" customWidth="1"/>
    <col min="5104" max="5104" width="35.5703125" bestFit="1" customWidth="1"/>
    <col min="5105" max="5107" width="17.42578125" customWidth="1"/>
    <col min="5108" max="5108" width="16.7109375" bestFit="1" customWidth="1"/>
    <col min="5110" max="5110" width="12" bestFit="1" customWidth="1"/>
    <col min="5359" max="5359" width="9.28515625" customWidth="1"/>
    <col min="5360" max="5360" width="35.5703125" bestFit="1" customWidth="1"/>
    <col min="5361" max="5363" width="17.42578125" customWidth="1"/>
    <col min="5364" max="5364" width="16.7109375" bestFit="1" customWidth="1"/>
    <col min="5366" max="5366" width="12" bestFit="1" customWidth="1"/>
    <col min="5615" max="5615" width="9.28515625" customWidth="1"/>
    <col min="5616" max="5616" width="35.5703125" bestFit="1" customWidth="1"/>
    <col min="5617" max="5619" width="17.42578125" customWidth="1"/>
    <col min="5620" max="5620" width="16.7109375" bestFit="1" customWidth="1"/>
    <col min="5622" max="5622" width="12" bestFit="1" customWidth="1"/>
    <col min="5871" max="5871" width="9.28515625" customWidth="1"/>
    <col min="5872" max="5872" width="35.5703125" bestFit="1" customWidth="1"/>
    <col min="5873" max="5875" width="17.42578125" customWidth="1"/>
    <col min="5876" max="5876" width="16.7109375" bestFit="1" customWidth="1"/>
    <col min="5878" max="5878" width="12" bestFit="1" customWidth="1"/>
    <col min="6127" max="6127" width="9.28515625" customWidth="1"/>
    <col min="6128" max="6128" width="35.5703125" bestFit="1" customWidth="1"/>
    <col min="6129" max="6131" width="17.42578125" customWidth="1"/>
    <col min="6132" max="6132" width="16.7109375" bestFit="1" customWidth="1"/>
    <col min="6134" max="6134" width="12" bestFit="1" customWidth="1"/>
    <col min="6383" max="6383" width="9.28515625" customWidth="1"/>
    <col min="6384" max="6384" width="35.5703125" bestFit="1" customWidth="1"/>
    <col min="6385" max="6387" width="17.42578125" customWidth="1"/>
    <col min="6388" max="6388" width="16.7109375" bestFit="1" customWidth="1"/>
    <col min="6390" max="6390" width="12" bestFit="1" customWidth="1"/>
    <col min="6639" max="6639" width="9.28515625" customWidth="1"/>
    <col min="6640" max="6640" width="35.5703125" bestFit="1" customWidth="1"/>
    <col min="6641" max="6643" width="17.42578125" customWidth="1"/>
    <col min="6644" max="6644" width="16.7109375" bestFit="1" customWidth="1"/>
    <col min="6646" max="6646" width="12" bestFit="1" customWidth="1"/>
    <col min="6895" max="6895" width="9.28515625" customWidth="1"/>
    <col min="6896" max="6896" width="35.5703125" bestFit="1" customWidth="1"/>
    <col min="6897" max="6899" width="17.42578125" customWidth="1"/>
    <col min="6900" max="6900" width="16.7109375" bestFit="1" customWidth="1"/>
    <col min="6902" max="6902" width="12" bestFit="1" customWidth="1"/>
    <col min="7151" max="7151" width="9.28515625" customWidth="1"/>
    <col min="7152" max="7152" width="35.5703125" bestFit="1" customWidth="1"/>
    <col min="7153" max="7155" width="17.42578125" customWidth="1"/>
    <col min="7156" max="7156" width="16.7109375" bestFit="1" customWidth="1"/>
    <col min="7158" max="7158" width="12" bestFit="1" customWidth="1"/>
    <col min="7407" max="7407" width="9.28515625" customWidth="1"/>
    <col min="7408" max="7408" width="35.5703125" bestFit="1" customWidth="1"/>
    <col min="7409" max="7411" width="17.42578125" customWidth="1"/>
    <col min="7412" max="7412" width="16.7109375" bestFit="1" customWidth="1"/>
    <col min="7414" max="7414" width="12" bestFit="1" customWidth="1"/>
    <col min="7663" max="7663" width="9.28515625" customWidth="1"/>
    <col min="7664" max="7664" width="35.5703125" bestFit="1" customWidth="1"/>
    <col min="7665" max="7667" width="17.42578125" customWidth="1"/>
    <col min="7668" max="7668" width="16.7109375" bestFit="1" customWidth="1"/>
    <col min="7670" max="7670" width="12" bestFit="1" customWidth="1"/>
    <col min="7919" max="7919" width="9.28515625" customWidth="1"/>
    <col min="7920" max="7920" width="35.5703125" bestFit="1" customWidth="1"/>
    <col min="7921" max="7923" width="17.42578125" customWidth="1"/>
    <col min="7924" max="7924" width="16.7109375" bestFit="1" customWidth="1"/>
    <col min="7926" max="7926" width="12" bestFit="1" customWidth="1"/>
    <col min="8175" max="8175" width="9.28515625" customWidth="1"/>
    <col min="8176" max="8176" width="35.5703125" bestFit="1" customWidth="1"/>
    <col min="8177" max="8179" width="17.42578125" customWidth="1"/>
    <col min="8180" max="8180" width="16.7109375" bestFit="1" customWidth="1"/>
    <col min="8182" max="8182" width="12" bestFit="1" customWidth="1"/>
    <col min="8431" max="8431" width="9.28515625" customWidth="1"/>
    <col min="8432" max="8432" width="35.5703125" bestFit="1" customWidth="1"/>
    <col min="8433" max="8435" width="17.42578125" customWidth="1"/>
    <col min="8436" max="8436" width="16.7109375" bestFit="1" customWidth="1"/>
    <col min="8438" max="8438" width="12" bestFit="1" customWidth="1"/>
    <col min="8687" max="8687" width="9.28515625" customWidth="1"/>
    <col min="8688" max="8688" width="35.5703125" bestFit="1" customWidth="1"/>
    <col min="8689" max="8691" width="17.42578125" customWidth="1"/>
    <col min="8692" max="8692" width="16.7109375" bestFit="1" customWidth="1"/>
    <col min="8694" max="8694" width="12" bestFit="1" customWidth="1"/>
    <col min="8943" max="8943" width="9.28515625" customWidth="1"/>
    <col min="8944" max="8944" width="35.5703125" bestFit="1" customWidth="1"/>
    <col min="8945" max="8947" width="17.42578125" customWidth="1"/>
    <col min="8948" max="8948" width="16.7109375" bestFit="1" customWidth="1"/>
    <col min="8950" max="8950" width="12" bestFit="1" customWidth="1"/>
    <col min="9199" max="9199" width="9.28515625" customWidth="1"/>
    <col min="9200" max="9200" width="35.5703125" bestFit="1" customWidth="1"/>
    <col min="9201" max="9203" width="17.42578125" customWidth="1"/>
    <col min="9204" max="9204" width="16.7109375" bestFit="1" customWidth="1"/>
    <col min="9206" max="9206" width="12" bestFit="1" customWidth="1"/>
    <col min="9455" max="9455" width="9.28515625" customWidth="1"/>
    <col min="9456" max="9456" width="35.5703125" bestFit="1" customWidth="1"/>
    <col min="9457" max="9459" width="17.42578125" customWidth="1"/>
    <col min="9460" max="9460" width="16.7109375" bestFit="1" customWidth="1"/>
    <col min="9462" max="9462" width="12" bestFit="1" customWidth="1"/>
    <col min="9711" max="9711" width="9.28515625" customWidth="1"/>
    <col min="9712" max="9712" width="35.5703125" bestFit="1" customWidth="1"/>
    <col min="9713" max="9715" width="17.42578125" customWidth="1"/>
    <col min="9716" max="9716" width="16.7109375" bestFit="1" customWidth="1"/>
    <col min="9718" max="9718" width="12" bestFit="1" customWidth="1"/>
    <col min="9967" max="9967" width="9.28515625" customWidth="1"/>
    <col min="9968" max="9968" width="35.5703125" bestFit="1" customWidth="1"/>
    <col min="9969" max="9971" width="17.42578125" customWidth="1"/>
    <col min="9972" max="9972" width="16.7109375" bestFit="1" customWidth="1"/>
    <col min="9974" max="9974" width="12" bestFit="1" customWidth="1"/>
    <col min="10223" max="10223" width="9.28515625" customWidth="1"/>
    <col min="10224" max="10224" width="35.5703125" bestFit="1" customWidth="1"/>
    <col min="10225" max="10227" width="17.42578125" customWidth="1"/>
    <col min="10228" max="10228" width="16.7109375" bestFit="1" customWidth="1"/>
    <col min="10230" max="10230" width="12" bestFit="1" customWidth="1"/>
    <col min="10479" max="10479" width="9.28515625" customWidth="1"/>
    <col min="10480" max="10480" width="35.5703125" bestFit="1" customWidth="1"/>
    <col min="10481" max="10483" width="17.42578125" customWidth="1"/>
    <col min="10484" max="10484" width="16.7109375" bestFit="1" customWidth="1"/>
    <col min="10486" max="10486" width="12" bestFit="1" customWidth="1"/>
    <col min="10735" max="10735" width="9.28515625" customWidth="1"/>
    <col min="10736" max="10736" width="35.5703125" bestFit="1" customWidth="1"/>
    <col min="10737" max="10739" width="17.42578125" customWidth="1"/>
    <col min="10740" max="10740" width="16.7109375" bestFit="1" customWidth="1"/>
    <col min="10742" max="10742" width="12" bestFit="1" customWidth="1"/>
    <col min="10991" max="10991" width="9.28515625" customWidth="1"/>
    <col min="10992" max="10992" width="35.5703125" bestFit="1" customWidth="1"/>
    <col min="10993" max="10995" width="17.42578125" customWidth="1"/>
    <col min="10996" max="10996" width="16.7109375" bestFit="1" customWidth="1"/>
    <col min="10998" max="10998" width="12" bestFit="1" customWidth="1"/>
    <col min="11247" max="11247" width="9.28515625" customWidth="1"/>
    <col min="11248" max="11248" width="35.5703125" bestFit="1" customWidth="1"/>
    <col min="11249" max="11251" width="17.42578125" customWidth="1"/>
    <col min="11252" max="11252" width="16.7109375" bestFit="1" customWidth="1"/>
    <col min="11254" max="11254" width="12" bestFit="1" customWidth="1"/>
    <col min="11503" max="11503" width="9.28515625" customWidth="1"/>
    <col min="11504" max="11504" width="35.5703125" bestFit="1" customWidth="1"/>
    <col min="11505" max="11507" width="17.42578125" customWidth="1"/>
    <col min="11508" max="11508" width="16.7109375" bestFit="1" customWidth="1"/>
    <col min="11510" max="11510" width="12" bestFit="1" customWidth="1"/>
    <col min="11759" max="11759" width="9.28515625" customWidth="1"/>
    <col min="11760" max="11760" width="35.5703125" bestFit="1" customWidth="1"/>
    <col min="11761" max="11763" width="17.42578125" customWidth="1"/>
    <col min="11764" max="11764" width="16.7109375" bestFit="1" customWidth="1"/>
    <col min="11766" max="11766" width="12" bestFit="1" customWidth="1"/>
    <col min="12015" max="12015" width="9.28515625" customWidth="1"/>
    <col min="12016" max="12016" width="35.5703125" bestFit="1" customWidth="1"/>
    <col min="12017" max="12019" width="17.42578125" customWidth="1"/>
    <col min="12020" max="12020" width="16.7109375" bestFit="1" customWidth="1"/>
    <col min="12022" max="12022" width="12" bestFit="1" customWidth="1"/>
    <col min="12271" max="12271" width="9.28515625" customWidth="1"/>
    <col min="12272" max="12272" width="35.5703125" bestFit="1" customWidth="1"/>
    <col min="12273" max="12275" width="17.42578125" customWidth="1"/>
    <col min="12276" max="12276" width="16.7109375" bestFit="1" customWidth="1"/>
    <col min="12278" max="12278" width="12" bestFit="1" customWidth="1"/>
    <col min="12527" max="12527" width="9.28515625" customWidth="1"/>
    <col min="12528" max="12528" width="35.5703125" bestFit="1" customWidth="1"/>
    <col min="12529" max="12531" width="17.42578125" customWidth="1"/>
    <col min="12532" max="12532" width="16.7109375" bestFit="1" customWidth="1"/>
    <col min="12534" max="12534" width="12" bestFit="1" customWidth="1"/>
    <col min="12783" max="12783" width="9.28515625" customWidth="1"/>
    <col min="12784" max="12784" width="35.5703125" bestFit="1" customWidth="1"/>
    <col min="12785" max="12787" width="17.42578125" customWidth="1"/>
    <col min="12788" max="12788" width="16.7109375" bestFit="1" customWidth="1"/>
    <col min="12790" max="12790" width="12" bestFit="1" customWidth="1"/>
    <col min="13039" max="13039" width="9.28515625" customWidth="1"/>
    <col min="13040" max="13040" width="35.5703125" bestFit="1" customWidth="1"/>
    <col min="13041" max="13043" width="17.42578125" customWidth="1"/>
    <col min="13044" max="13044" width="16.7109375" bestFit="1" customWidth="1"/>
    <col min="13046" max="13046" width="12" bestFit="1" customWidth="1"/>
    <col min="13295" max="13295" width="9.28515625" customWidth="1"/>
    <col min="13296" max="13296" width="35.5703125" bestFit="1" customWidth="1"/>
    <col min="13297" max="13299" width="17.42578125" customWidth="1"/>
    <col min="13300" max="13300" width="16.7109375" bestFit="1" customWidth="1"/>
    <col min="13302" max="13302" width="12" bestFit="1" customWidth="1"/>
    <col min="13551" max="13551" width="9.28515625" customWidth="1"/>
    <col min="13552" max="13552" width="35.5703125" bestFit="1" customWidth="1"/>
    <col min="13553" max="13555" width="17.42578125" customWidth="1"/>
    <col min="13556" max="13556" width="16.7109375" bestFit="1" customWidth="1"/>
    <col min="13558" max="13558" width="12" bestFit="1" customWidth="1"/>
    <col min="13807" max="13807" width="9.28515625" customWidth="1"/>
    <col min="13808" max="13808" width="35.5703125" bestFit="1" customWidth="1"/>
    <col min="13809" max="13811" width="17.42578125" customWidth="1"/>
    <col min="13812" max="13812" width="16.7109375" bestFit="1" customWidth="1"/>
    <col min="13814" max="13814" width="12" bestFit="1" customWidth="1"/>
    <col min="14063" max="14063" width="9.28515625" customWidth="1"/>
    <col min="14064" max="14064" width="35.5703125" bestFit="1" customWidth="1"/>
    <col min="14065" max="14067" width="17.42578125" customWidth="1"/>
    <col min="14068" max="14068" width="16.7109375" bestFit="1" customWidth="1"/>
    <col min="14070" max="14070" width="12" bestFit="1" customWidth="1"/>
    <col min="14319" max="14319" width="9.28515625" customWidth="1"/>
    <col min="14320" max="14320" width="35.5703125" bestFit="1" customWidth="1"/>
    <col min="14321" max="14323" width="17.42578125" customWidth="1"/>
    <col min="14324" max="14324" width="16.7109375" bestFit="1" customWidth="1"/>
    <col min="14326" max="14326" width="12" bestFit="1" customWidth="1"/>
    <col min="14575" max="14575" width="9.28515625" customWidth="1"/>
    <col min="14576" max="14576" width="35.5703125" bestFit="1" customWidth="1"/>
    <col min="14577" max="14579" width="17.42578125" customWidth="1"/>
    <col min="14580" max="14580" width="16.7109375" bestFit="1" customWidth="1"/>
    <col min="14582" max="14582" width="12" bestFit="1" customWidth="1"/>
    <col min="14831" max="14831" width="9.28515625" customWidth="1"/>
    <col min="14832" max="14832" width="35.5703125" bestFit="1" customWidth="1"/>
    <col min="14833" max="14835" width="17.42578125" customWidth="1"/>
    <col min="14836" max="14836" width="16.7109375" bestFit="1" customWidth="1"/>
    <col min="14838" max="14838" width="12" bestFit="1" customWidth="1"/>
    <col min="15087" max="15087" width="9.28515625" customWidth="1"/>
    <col min="15088" max="15088" width="35.5703125" bestFit="1" customWidth="1"/>
    <col min="15089" max="15091" width="17.42578125" customWidth="1"/>
    <col min="15092" max="15092" width="16.7109375" bestFit="1" customWidth="1"/>
    <col min="15094" max="15094" width="12" bestFit="1" customWidth="1"/>
    <col min="15343" max="15343" width="9.28515625" customWidth="1"/>
    <col min="15344" max="15344" width="35.5703125" bestFit="1" customWidth="1"/>
    <col min="15345" max="15347" width="17.42578125" customWidth="1"/>
    <col min="15348" max="15348" width="16.7109375" bestFit="1" customWidth="1"/>
    <col min="15350" max="15350" width="12" bestFit="1" customWidth="1"/>
    <col min="15599" max="15599" width="9.28515625" customWidth="1"/>
    <col min="15600" max="15600" width="35.5703125" bestFit="1" customWidth="1"/>
    <col min="15601" max="15603" width="17.42578125" customWidth="1"/>
    <col min="15604" max="15604" width="16.7109375" bestFit="1" customWidth="1"/>
    <col min="15606" max="15606" width="12" bestFit="1" customWidth="1"/>
    <col min="15855" max="15855" width="9.28515625" customWidth="1"/>
    <col min="15856" max="15856" width="35.5703125" bestFit="1" customWidth="1"/>
    <col min="15857" max="15859" width="17.42578125" customWidth="1"/>
    <col min="15860" max="15860" width="16.7109375" bestFit="1" customWidth="1"/>
    <col min="15862" max="15862" width="12" bestFit="1" customWidth="1"/>
    <col min="16111" max="16111" width="9.28515625" customWidth="1"/>
    <col min="16112" max="16112" width="35.5703125" bestFit="1" customWidth="1"/>
    <col min="16113" max="16115" width="17.42578125" customWidth="1"/>
    <col min="16116" max="16116" width="16.7109375" bestFit="1" customWidth="1"/>
    <col min="16118" max="16118" width="12" bestFit="1" customWidth="1"/>
  </cols>
  <sheetData>
    <row r="1" spans="2:10">
      <c r="D1" s="17" t="s">
        <v>0</v>
      </c>
      <c r="E1" s="18">
        <v>0.8</v>
      </c>
      <c r="G1" s="200" t="s">
        <v>1</v>
      </c>
      <c r="H1" s="201"/>
      <c r="I1" s="201"/>
      <c r="J1" s="202"/>
    </row>
    <row r="2" spans="2:10">
      <c r="D2" s="17" t="s">
        <v>2</v>
      </c>
      <c r="E2" s="18">
        <v>0.5</v>
      </c>
      <c r="G2" s="19" t="s">
        <v>3</v>
      </c>
      <c r="H2" s="20">
        <f>SUM(H16,H20)</f>
        <v>5.32</v>
      </c>
      <c r="I2" s="21"/>
      <c r="J2" s="21"/>
    </row>
    <row r="3" spans="2:10">
      <c r="D3" s="17" t="s">
        <v>4</v>
      </c>
      <c r="E3" s="18">
        <v>480</v>
      </c>
      <c r="G3" s="19" t="s">
        <v>5</v>
      </c>
      <c r="H3" s="20">
        <f>(H2/$E$5)</f>
        <v>7.1313672922252014</v>
      </c>
      <c r="I3" s="21"/>
      <c r="J3" s="21"/>
    </row>
    <row r="4" spans="2:10">
      <c r="D4" s="17" t="s">
        <v>6</v>
      </c>
      <c r="E4" s="18">
        <v>120</v>
      </c>
      <c r="G4" s="19" t="s">
        <v>7</v>
      </c>
      <c r="H4" s="20">
        <f>(H2*1000)/(1.73*$E$3*$E$2)</f>
        <v>12.813102119460501</v>
      </c>
      <c r="I4" s="21"/>
      <c r="J4" s="21"/>
    </row>
    <row r="5" spans="2:10">
      <c r="D5" s="17" t="s">
        <v>8</v>
      </c>
      <c r="E5" s="18">
        <v>0.746</v>
      </c>
      <c r="F5" s="22"/>
      <c r="G5" s="19" t="s">
        <v>9</v>
      </c>
      <c r="H5" s="20">
        <f>H2*$E$6</f>
        <v>6.65</v>
      </c>
      <c r="I5" s="21"/>
      <c r="J5" s="21"/>
    </row>
    <row r="6" spans="2:10">
      <c r="D6" s="17" t="s">
        <v>10</v>
      </c>
      <c r="E6" s="18">
        <v>1.25</v>
      </c>
      <c r="F6" s="22"/>
      <c r="G6" s="19" t="s">
        <v>11</v>
      </c>
      <c r="H6" s="20">
        <f>H3*$E$6</f>
        <v>8.9142091152815013</v>
      </c>
      <c r="I6" s="21"/>
      <c r="J6" s="21"/>
    </row>
    <row r="7" spans="2:10">
      <c r="D7" s="17" t="s">
        <v>12</v>
      </c>
      <c r="E7" s="18">
        <v>0.8</v>
      </c>
      <c r="F7" s="22"/>
      <c r="G7" s="19" t="s">
        <v>13</v>
      </c>
      <c r="H7" s="20">
        <f>H4*$E$6</f>
        <v>16.016377649325626</v>
      </c>
      <c r="I7" s="21"/>
      <c r="J7" s="21"/>
    </row>
    <row r="8" spans="2:10">
      <c r="D8" s="17" t="s">
        <v>14</v>
      </c>
      <c r="E8" s="18">
        <v>230</v>
      </c>
      <c r="F8" s="22"/>
      <c r="I8" s="25"/>
    </row>
    <row r="9" spans="2:10" ht="15.75" thickBot="1">
      <c r="D9" s="23"/>
      <c r="E9" s="75"/>
      <c r="F9" s="22"/>
      <c r="I9" s="25"/>
    </row>
    <row r="10" spans="2:10" ht="16.5" thickBot="1">
      <c r="B10" s="203" t="s">
        <v>15</v>
      </c>
      <c r="C10" s="204"/>
      <c r="D10" s="204"/>
      <c r="E10" s="204"/>
      <c r="F10" s="204"/>
      <c r="G10" s="204"/>
      <c r="H10" s="204"/>
      <c r="I10" s="204"/>
      <c r="J10" s="205"/>
    </row>
    <row r="11" spans="2:10" ht="15.75">
      <c r="B11" s="53" t="s">
        <v>16</v>
      </c>
      <c r="C11" s="57" t="s">
        <v>17</v>
      </c>
      <c r="D11" s="54" t="s">
        <v>18</v>
      </c>
      <c r="E11" s="55" t="s">
        <v>19</v>
      </c>
      <c r="F11" s="55" t="s">
        <v>20</v>
      </c>
      <c r="G11" s="55" t="s">
        <v>21</v>
      </c>
      <c r="H11" s="55" t="s">
        <v>22</v>
      </c>
      <c r="I11" s="55" t="s">
        <v>23</v>
      </c>
      <c r="J11" s="56" t="s">
        <v>24</v>
      </c>
    </row>
    <row r="12" spans="2:10" ht="15.75">
      <c r="B12" s="222" t="s">
        <v>47</v>
      </c>
      <c r="C12" s="70">
        <v>1</v>
      </c>
      <c r="D12" s="72" t="s">
        <v>48</v>
      </c>
      <c r="E12" s="70" t="s">
        <v>49</v>
      </c>
      <c r="F12" s="74" t="s">
        <v>28</v>
      </c>
      <c r="G12" s="27">
        <v>1.5</v>
      </c>
      <c r="H12" s="27">
        <f>G12</f>
        <v>1.5</v>
      </c>
      <c r="I12" s="28">
        <f>H12/$E$5</f>
        <v>2.0107238605898123</v>
      </c>
      <c r="J12" s="73">
        <v>3</v>
      </c>
    </row>
    <row r="13" spans="2:10" ht="15.75">
      <c r="B13" s="222"/>
      <c r="C13" s="70">
        <v>2</v>
      </c>
      <c r="D13" s="72" t="s">
        <v>50</v>
      </c>
      <c r="E13" s="70" t="s">
        <v>51</v>
      </c>
      <c r="F13" s="71" t="s">
        <v>41</v>
      </c>
      <c r="G13" s="27">
        <v>0.75</v>
      </c>
      <c r="H13" s="27">
        <f t="shared" ref="H13:H15" si="0">G13</f>
        <v>0.75</v>
      </c>
      <c r="I13" s="28">
        <f t="shared" ref="I13:I15" si="1">H13/$E$5</f>
        <v>1.0053619302949062</v>
      </c>
      <c r="J13" s="73">
        <f t="shared" ref="J13:J15" si="2">(H13*1000)/(1.732*$E$1*$E$2*$E$3)</f>
        <v>2.2553406466512698</v>
      </c>
    </row>
    <row r="14" spans="2:10" ht="15.75">
      <c r="B14" s="222"/>
      <c r="C14" s="70">
        <v>3</v>
      </c>
      <c r="D14" s="72" t="s">
        <v>52</v>
      </c>
      <c r="E14" s="70" t="s">
        <v>53</v>
      </c>
      <c r="F14" s="71" t="s">
        <v>54</v>
      </c>
      <c r="G14" s="27">
        <v>0.37</v>
      </c>
      <c r="H14" s="27">
        <f t="shared" si="0"/>
        <v>0.37</v>
      </c>
      <c r="I14" s="28">
        <f t="shared" si="1"/>
        <v>0.49597855227882037</v>
      </c>
      <c r="J14" s="73">
        <f t="shared" si="2"/>
        <v>1.1126347190146264</v>
      </c>
    </row>
    <row r="15" spans="2:10" ht="15.75">
      <c r="B15" s="222"/>
      <c r="C15" s="70">
        <v>4</v>
      </c>
      <c r="D15" s="96" t="s">
        <v>55</v>
      </c>
      <c r="E15" s="70" t="s">
        <v>56</v>
      </c>
      <c r="F15" s="71" t="s">
        <v>57</v>
      </c>
      <c r="G15" s="27">
        <v>2.2000000000000002</v>
      </c>
      <c r="H15" s="27">
        <f t="shared" si="0"/>
        <v>2.2000000000000002</v>
      </c>
      <c r="I15" s="28">
        <f t="shared" si="1"/>
        <v>2.9490616621983916</v>
      </c>
      <c r="J15" s="73">
        <f t="shared" si="2"/>
        <v>6.6156658968437254</v>
      </c>
    </row>
    <row r="16" spans="2:10" ht="16.5" thickBot="1">
      <c r="B16" s="38"/>
      <c r="C16" s="224" t="s">
        <v>58</v>
      </c>
      <c r="D16" s="225"/>
      <c r="E16" s="226"/>
      <c r="F16" s="39"/>
      <c r="G16" s="40">
        <f>SUM(G12:G15)</f>
        <v>4.82</v>
      </c>
      <c r="H16" s="40">
        <f>SUM(H12:H15)</f>
        <v>4.82</v>
      </c>
      <c r="I16" s="40">
        <f>SUM(I12:I15)</f>
        <v>6.4611260053619306</v>
      </c>
      <c r="J16" s="41">
        <f>SUM(J12:J15)</f>
        <v>12.983641262509622</v>
      </c>
    </row>
    <row r="17" spans="2:10" ht="15.75" thickBot="1">
      <c r="B17" s="212" t="s">
        <v>59</v>
      </c>
      <c r="C17" s="213"/>
      <c r="D17" s="213"/>
      <c r="E17" s="213"/>
      <c r="F17" s="213"/>
      <c r="G17" s="213"/>
      <c r="H17" s="213"/>
      <c r="I17" s="213"/>
      <c r="J17" s="214"/>
    </row>
    <row r="18" spans="2:10" ht="15.75">
      <c r="B18" s="53" t="s">
        <v>16</v>
      </c>
      <c r="C18" s="57" t="s">
        <v>17</v>
      </c>
      <c r="D18" s="54" t="s">
        <v>18</v>
      </c>
      <c r="E18" s="55" t="s">
        <v>19</v>
      </c>
      <c r="F18" s="55" t="s">
        <v>60</v>
      </c>
      <c r="G18" s="55" t="s">
        <v>21</v>
      </c>
      <c r="H18" s="55" t="s">
        <v>22</v>
      </c>
      <c r="I18" s="55" t="s">
        <v>23</v>
      </c>
      <c r="J18" s="56" t="s">
        <v>24</v>
      </c>
    </row>
    <row r="19" spans="2:10" ht="15.75">
      <c r="B19" s="52" t="s">
        <v>94</v>
      </c>
      <c r="C19" s="26">
        <v>1</v>
      </c>
      <c r="D19" s="30" t="s">
        <v>69</v>
      </c>
      <c r="E19" s="27" t="s">
        <v>70</v>
      </c>
      <c r="F19" s="27"/>
      <c r="G19" s="58">
        <v>0.5</v>
      </c>
      <c r="H19" s="28">
        <f>G19</f>
        <v>0.5</v>
      </c>
      <c r="I19" s="31">
        <f>H19/$E$5</f>
        <v>0.67024128686327078</v>
      </c>
      <c r="J19" s="59">
        <f>(H19*1000/E8)/E1</f>
        <v>2.7173913043478257</v>
      </c>
    </row>
    <row r="20" spans="2:10" ht="16.5" thickBot="1">
      <c r="B20" s="38"/>
      <c r="C20" s="224" t="s">
        <v>58</v>
      </c>
      <c r="D20" s="225"/>
      <c r="E20" s="226"/>
      <c r="F20" s="39"/>
      <c r="G20" s="40">
        <f>SUM(G19)</f>
        <v>0.5</v>
      </c>
      <c r="H20" s="40">
        <f t="shared" ref="H20:J20" si="3">SUM(H19)</f>
        <v>0.5</v>
      </c>
      <c r="I20" s="40">
        <f t="shared" si="3"/>
        <v>0.67024128686327078</v>
      </c>
      <c r="J20" s="40">
        <f t="shared" si="3"/>
        <v>2.7173913043478257</v>
      </c>
    </row>
    <row r="21" spans="2:10" ht="16.5" thickBot="1">
      <c r="B21" s="209" t="s">
        <v>71</v>
      </c>
      <c r="C21" s="210"/>
      <c r="D21" s="210"/>
      <c r="E21" s="211"/>
      <c r="F21" s="35"/>
      <c r="G21" s="36">
        <f>H5</f>
        <v>6.65</v>
      </c>
      <c r="H21" s="36">
        <f>H5</f>
        <v>6.65</v>
      </c>
      <c r="I21" s="36">
        <f>H6</f>
        <v>8.9142091152815013</v>
      </c>
      <c r="J21" s="36">
        <f>H7</f>
        <v>16.016377649325626</v>
      </c>
    </row>
    <row r="22" spans="2:10" ht="15.75">
      <c r="B22" s="78"/>
      <c r="C22" s="79"/>
      <c r="D22" s="79"/>
      <c r="E22" s="79"/>
      <c r="F22" s="80"/>
      <c r="G22" s="81"/>
      <c r="H22" s="81"/>
      <c r="I22" s="81"/>
      <c r="J22" s="81"/>
    </row>
    <row r="23" spans="2:10">
      <c r="I23" s="37"/>
      <c r="J23" s="37"/>
    </row>
    <row r="47" spans="11:11">
      <c r="K47" t="s">
        <v>93</v>
      </c>
    </row>
  </sheetData>
  <mergeCells count="7">
    <mergeCell ref="B21:E21"/>
    <mergeCell ref="B17:J17"/>
    <mergeCell ref="C20:E20"/>
    <mergeCell ref="G1:J1"/>
    <mergeCell ref="B10:J10"/>
    <mergeCell ref="B12:B15"/>
    <mergeCell ref="C16:E16"/>
  </mergeCells>
  <dataValidations count="4">
    <dataValidation type="decimal" operator="equal" allowBlank="1" showInputMessage="1" showErrorMessage="1" sqref="I19">
      <formula1>H19/$E$5</formula1>
    </dataValidation>
    <dataValidation type="decimal" operator="equal" allowBlank="1" showInputMessage="1" showErrorMessage="1" sqref="H19">
      <formula1>G19</formula1>
    </dataValidation>
    <dataValidation type="list" allowBlank="1" showDropDown="1" showInputMessage="1" showErrorMessage="1" promptTitle="Calculation " sqref="H12:H15">
      <formula1>G12</formula1>
    </dataValidation>
    <dataValidation type="whole" allowBlank="1" showDropDown="1" showInputMessage="1" showErrorMessage="1" sqref="I12:I15">
      <formula1>H12/$E$5</formula1>
      <formula2>H12/$E$5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9" zoomScale="160" zoomScaleNormal="160" workbookViewId="0">
      <selection activeCell="S25" sqref="S25"/>
    </sheetView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4"/>
  <sheetViews>
    <sheetView topLeftCell="F16" zoomScaleNormal="100" workbookViewId="0">
      <selection activeCell="G42" sqref="G42:G44"/>
    </sheetView>
  </sheetViews>
  <sheetFormatPr defaultColWidth="8.7109375" defaultRowHeight="14.25"/>
  <cols>
    <col min="1" max="1" width="6.42578125" style="6" bestFit="1" customWidth="1"/>
    <col min="2" max="2" width="6.5703125" style="7" bestFit="1" customWidth="1"/>
    <col min="3" max="3" width="6.28515625" style="7" bestFit="1" customWidth="1"/>
    <col min="4" max="4" width="10.28515625" style="7" bestFit="1" customWidth="1"/>
    <col min="5" max="5" width="7.42578125" style="7" bestFit="1" customWidth="1"/>
    <col min="6" max="6" width="49.85546875" style="6" bestFit="1" customWidth="1"/>
    <col min="7" max="7" width="62.5703125" style="6" bestFit="1" customWidth="1"/>
    <col min="8" max="8" width="21.5703125" style="7" bestFit="1" customWidth="1"/>
    <col min="9" max="9" width="5.7109375" style="9" bestFit="1" customWidth="1"/>
    <col min="10" max="10" width="12.28515625" style="7" bestFit="1" customWidth="1"/>
    <col min="11" max="11" width="6.5703125" style="7" bestFit="1" customWidth="1"/>
    <col min="12" max="12" width="11.28515625" style="7" bestFit="1" customWidth="1"/>
    <col min="13" max="13" width="9.7109375" style="7" bestFit="1" customWidth="1"/>
    <col min="14" max="14" width="44.7109375" style="8" bestFit="1" customWidth="1"/>
    <col min="15" max="15" width="54.28515625" style="8" bestFit="1" customWidth="1"/>
    <col min="16" max="16" width="22.85546875" style="9" bestFit="1" customWidth="1"/>
    <col min="17" max="17" width="5.7109375" style="7" bestFit="1" customWidth="1"/>
    <col min="18" max="18" width="15.7109375" style="7" bestFit="1" customWidth="1"/>
    <col min="19" max="19" width="9.28515625" style="6" bestFit="1" customWidth="1"/>
    <col min="20" max="16384" width="8.7109375" style="6"/>
  </cols>
  <sheetData>
    <row r="1" spans="2:18" s="4" customFormat="1" ht="16.5" thickBot="1">
      <c r="B1" s="2"/>
      <c r="C1" s="2"/>
      <c r="D1" s="3"/>
      <c r="E1" s="3"/>
      <c r="H1" s="3"/>
      <c r="I1" s="5"/>
      <c r="J1" s="3"/>
      <c r="K1" s="3"/>
      <c r="L1" s="3"/>
      <c r="M1" s="3"/>
      <c r="N1" s="2"/>
      <c r="O1" s="2"/>
      <c r="P1" s="5"/>
      <c r="Q1" s="3"/>
      <c r="R1" s="3"/>
    </row>
    <row r="2" spans="2:18" ht="15.75" thickBot="1">
      <c r="B2" s="227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9"/>
    </row>
    <row r="3" spans="2:18" ht="15.75" thickBot="1">
      <c r="B3" s="227" t="s">
        <v>95</v>
      </c>
      <c r="C3" s="228"/>
      <c r="D3" s="228"/>
      <c r="E3" s="228"/>
      <c r="F3" s="228"/>
      <c r="G3" s="228"/>
      <c r="H3" s="228"/>
      <c r="I3" s="228"/>
      <c r="J3" s="229"/>
      <c r="K3" s="228" t="s">
        <v>96</v>
      </c>
      <c r="L3" s="228"/>
      <c r="M3" s="228"/>
      <c r="N3" s="228"/>
      <c r="O3" s="228"/>
      <c r="P3" s="228"/>
      <c r="Q3" s="228"/>
      <c r="R3" s="229"/>
    </row>
    <row r="4" spans="2:18" ht="16.5" thickBot="1">
      <c r="B4" s="10" t="s">
        <v>97</v>
      </c>
      <c r="C4" s="46"/>
      <c r="D4" s="11" t="s">
        <v>98</v>
      </c>
      <c r="E4" s="11" t="s">
        <v>99</v>
      </c>
      <c r="F4" s="12" t="s">
        <v>100</v>
      </c>
      <c r="G4" s="12"/>
      <c r="H4" s="11" t="s">
        <v>18</v>
      </c>
      <c r="I4" s="13" t="s">
        <v>101</v>
      </c>
      <c r="J4" s="11" t="s">
        <v>102</v>
      </c>
      <c r="K4" s="11" t="s">
        <v>97</v>
      </c>
      <c r="L4" s="11"/>
      <c r="M4" s="11" t="s">
        <v>98</v>
      </c>
      <c r="N4" s="14" t="s">
        <v>103</v>
      </c>
      <c r="O4" s="14"/>
      <c r="P4" s="13" t="s">
        <v>18</v>
      </c>
      <c r="Q4" s="13" t="s">
        <v>101</v>
      </c>
      <c r="R4" s="153" t="s">
        <v>102</v>
      </c>
    </row>
    <row r="5" spans="2:18" ht="16.5" thickBot="1">
      <c r="B5" s="10"/>
      <c r="C5" s="46"/>
      <c r="D5" s="11"/>
      <c r="E5" s="11"/>
      <c r="F5" s="11" t="s">
        <v>104</v>
      </c>
      <c r="G5" s="12"/>
      <c r="H5" s="11"/>
      <c r="I5" s="13"/>
      <c r="J5" s="11"/>
      <c r="K5" s="11"/>
      <c r="L5" s="11"/>
      <c r="M5" s="11"/>
      <c r="N5" s="11" t="s">
        <v>104</v>
      </c>
      <c r="O5" s="11"/>
      <c r="P5" s="13"/>
      <c r="Q5" s="13"/>
      <c r="R5" s="153"/>
    </row>
    <row r="6" spans="2:18" ht="15.75">
      <c r="B6" s="87"/>
      <c r="C6" s="88"/>
      <c r="D6" s="89"/>
      <c r="E6" s="89"/>
      <c r="F6" s="90" t="s">
        <v>105</v>
      </c>
      <c r="G6" s="90" t="s">
        <v>106</v>
      </c>
      <c r="H6" s="91"/>
      <c r="I6" s="91"/>
      <c r="J6" s="89"/>
      <c r="K6" s="92"/>
      <c r="L6" s="92"/>
      <c r="M6" s="93"/>
      <c r="N6" s="94" t="s">
        <v>107</v>
      </c>
      <c r="O6" s="90" t="s">
        <v>108</v>
      </c>
      <c r="P6" s="91"/>
      <c r="Q6" s="90"/>
      <c r="R6" s="154"/>
    </row>
    <row r="7" spans="2:18" ht="15.75">
      <c r="B7" s="67">
        <v>1</v>
      </c>
      <c r="C7" s="67" t="s">
        <v>109</v>
      </c>
      <c r="D7" s="67" t="s">
        <v>707</v>
      </c>
      <c r="E7" s="67" t="s">
        <v>110</v>
      </c>
      <c r="F7" s="68" t="s">
        <v>111</v>
      </c>
      <c r="G7" s="68" t="str">
        <f>CONCATENATE(C7,E7,F7)</f>
        <v>SDI01_Emergency Stop  @ HMI Panel 1/1</v>
      </c>
      <c r="H7" s="69" t="s">
        <v>112</v>
      </c>
      <c r="I7" s="69"/>
      <c r="J7" s="67" t="s">
        <v>113</v>
      </c>
      <c r="K7" s="67">
        <v>1</v>
      </c>
      <c r="L7" s="67" t="s">
        <v>114</v>
      </c>
      <c r="M7" s="67" t="s">
        <v>708</v>
      </c>
      <c r="N7" s="68" t="s">
        <v>709</v>
      </c>
      <c r="O7" s="68" t="str">
        <f t="shared" ref="O7:O22" si="0" xml:space="preserve"> CONCATENATE(L7,E7,N7)</f>
        <v>SDO01_Frame-1 STO Safety Relay On_1/1</v>
      </c>
      <c r="P7" s="69" t="s">
        <v>115</v>
      </c>
      <c r="Q7" s="67"/>
      <c r="R7" s="67" t="s">
        <v>710</v>
      </c>
    </row>
    <row r="8" spans="2:18" ht="15.75">
      <c r="B8" s="67">
        <v>2</v>
      </c>
      <c r="C8" s="67" t="s">
        <v>116</v>
      </c>
      <c r="D8" s="67" t="s">
        <v>711</v>
      </c>
      <c r="E8" s="67" t="s">
        <v>110</v>
      </c>
      <c r="F8" s="68" t="s">
        <v>117</v>
      </c>
      <c r="G8" s="68" t="str">
        <f>CONCATENATE(C8,E8,F8)</f>
        <v>SDI02_Emergency Stop  @ HMI Panel 1/2</v>
      </c>
      <c r="H8" s="69" t="s">
        <v>112</v>
      </c>
      <c r="I8" s="69"/>
      <c r="J8" s="67" t="s">
        <v>118</v>
      </c>
      <c r="K8" s="67">
        <v>2</v>
      </c>
      <c r="L8" s="67" t="s">
        <v>119</v>
      </c>
      <c r="M8" s="67" t="s">
        <v>712</v>
      </c>
      <c r="N8" s="68" t="s">
        <v>713</v>
      </c>
      <c r="O8" s="68" t="str">
        <f t="shared" si="0"/>
        <v>SDO02_Frame-1 STO Safety Relay On_1/2</v>
      </c>
      <c r="P8" s="69" t="s">
        <v>115</v>
      </c>
      <c r="Q8" s="67"/>
      <c r="R8" s="67" t="s">
        <v>714</v>
      </c>
    </row>
    <row r="9" spans="2:18" ht="15.75">
      <c r="B9" s="67">
        <v>3</v>
      </c>
      <c r="C9" s="67" t="s">
        <v>120</v>
      </c>
      <c r="D9" s="67" t="s">
        <v>715</v>
      </c>
      <c r="E9" s="67" t="s">
        <v>110</v>
      </c>
      <c r="F9" s="68" t="s">
        <v>139</v>
      </c>
      <c r="G9" s="68" t="str">
        <f t="shared" ref="G9:G22" si="1">CONCATENATE(C9,E9,F9)</f>
        <v>SDI03_Frame-1 Door Switch-1/1</v>
      </c>
      <c r="H9" s="67" t="s">
        <v>140</v>
      </c>
      <c r="I9" s="69"/>
      <c r="J9" s="67" t="s">
        <v>141</v>
      </c>
      <c r="K9" s="67">
        <v>3</v>
      </c>
      <c r="L9" s="67" t="s">
        <v>123</v>
      </c>
      <c r="M9" s="67" t="s">
        <v>716</v>
      </c>
      <c r="N9" s="68" t="s">
        <v>717</v>
      </c>
      <c r="O9" s="68" t="str">
        <f t="shared" si="0"/>
        <v>SDO03_Safety Relay and Air Shutoff Valve Healthy 1/1</v>
      </c>
      <c r="P9" s="69" t="s">
        <v>115</v>
      </c>
      <c r="Q9" s="67"/>
      <c r="R9" s="67" t="s">
        <v>718</v>
      </c>
    </row>
    <row r="10" spans="2:18" ht="15.75">
      <c r="B10" s="67">
        <v>4</v>
      </c>
      <c r="C10" s="67" t="s">
        <v>124</v>
      </c>
      <c r="D10" s="67" t="s">
        <v>719</v>
      </c>
      <c r="E10" s="67" t="s">
        <v>110</v>
      </c>
      <c r="F10" s="68" t="s">
        <v>145</v>
      </c>
      <c r="G10" s="68" t="str">
        <f t="shared" si="1"/>
        <v>SDI04_Frame-1 Door Switch-1/2</v>
      </c>
      <c r="H10" s="67" t="s">
        <v>140</v>
      </c>
      <c r="I10" s="69"/>
      <c r="J10" s="67" t="s">
        <v>146</v>
      </c>
      <c r="K10" s="67">
        <v>4</v>
      </c>
      <c r="L10" s="67" t="s">
        <v>127</v>
      </c>
      <c r="M10" s="67" t="s">
        <v>720</v>
      </c>
      <c r="N10" s="68" t="s">
        <v>721</v>
      </c>
      <c r="O10" s="68" t="str">
        <f t="shared" si="0"/>
        <v>SDO04_Safety Relay and Air Shutoff Valve Healthy 1/2</v>
      </c>
      <c r="P10" s="69" t="s">
        <v>115</v>
      </c>
      <c r="Q10" s="67"/>
      <c r="R10" s="67" t="s">
        <v>722</v>
      </c>
    </row>
    <row r="11" spans="2:18" ht="15.75">
      <c r="B11" s="67">
        <v>5</v>
      </c>
      <c r="C11" s="67" t="s">
        <v>128</v>
      </c>
      <c r="D11" s="67" t="s">
        <v>723</v>
      </c>
      <c r="E11" s="67" t="s">
        <v>110</v>
      </c>
      <c r="F11" s="68" t="s">
        <v>149</v>
      </c>
      <c r="G11" s="68" t="str">
        <f t="shared" si="1"/>
        <v>SDI05_Frame-1 Door Switch-2/1</v>
      </c>
      <c r="H11" s="67" t="s">
        <v>140</v>
      </c>
      <c r="I11" s="69"/>
      <c r="J11" s="67" t="s">
        <v>150</v>
      </c>
      <c r="K11" s="67">
        <v>5</v>
      </c>
      <c r="L11" s="67" t="s">
        <v>130</v>
      </c>
      <c r="M11" s="67" t="s">
        <v>724</v>
      </c>
      <c r="N11" s="68" t="s">
        <v>725</v>
      </c>
      <c r="O11" s="68" t="str">
        <f t="shared" si="0"/>
        <v>SDO05_Frame-1 Robot Auto Stop Relay Healthy 1/1</v>
      </c>
      <c r="P11" s="69" t="s">
        <v>115</v>
      </c>
      <c r="Q11" s="67"/>
      <c r="R11" s="67" t="s">
        <v>726</v>
      </c>
    </row>
    <row r="12" spans="2:18" ht="15.75">
      <c r="B12" s="67">
        <v>6</v>
      </c>
      <c r="C12" s="67" t="s">
        <v>131</v>
      </c>
      <c r="D12" s="67" t="s">
        <v>727</v>
      </c>
      <c r="E12" s="67" t="s">
        <v>110</v>
      </c>
      <c r="F12" s="68" t="s">
        <v>153</v>
      </c>
      <c r="G12" s="68" t="str">
        <f t="shared" si="1"/>
        <v>SDI06_Frame-1 Door Switch-2/2</v>
      </c>
      <c r="H12" s="67" t="s">
        <v>140</v>
      </c>
      <c r="I12" s="69"/>
      <c r="J12" s="67" t="s">
        <v>154</v>
      </c>
      <c r="K12" s="67">
        <v>6</v>
      </c>
      <c r="L12" s="67" t="s">
        <v>132</v>
      </c>
      <c r="M12" s="67" t="s">
        <v>728</v>
      </c>
      <c r="N12" s="68" t="s">
        <v>729</v>
      </c>
      <c r="O12" s="68" t="str">
        <f t="shared" si="0"/>
        <v>SDO06_Frame-1 Robot Auto Stop Relay Healthy 1/2</v>
      </c>
      <c r="P12" s="69" t="s">
        <v>115</v>
      </c>
      <c r="Q12" s="67"/>
      <c r="R12" s="67" t="s">
        <v>730</v>
      </c>
    </row>
    <row r="13" spans="2:18" ht="15.75">
      <c r="B13" s="67">
        <v>7</v>
      </c>
      <c r="C13" s="67" t="s">
        <v>133</v>
      </c>
      <c r="D13" s="67" t="s">
        <v>731</v>
      </c>
      <c r="E13" s="67" t="s">
        <v>110</v>
      </c>
      <c r="F13" s="68" t="s">
        <v>157</v>
      </c>
      <c r="G13" s="68" t="str">
        <f t="shared" si="1"/>
        <v>SDI07_Frame-1 Door Switch-3/1</v>
      </c>
      <c r="H13" s="67" t="s">
        <v>140</v>
      </c>
      <c r="I13" s="69"/>
      <c r="J13" s="67" t="s">
        <v>158</v>
      </c>
      <c r="K13" s="67">
        <v>7</v>
      </c>
      <c r="L13" s="67" t="s">
        <v>134</v>
      </c>
      <c r="M13" s="67" t="s">
        <v>732</v>
      </c>
      <c r="N13" s="68" t="s">
        <v>733</v>
      </c>
      <c r="O13" s="68" t="str">
        <f t="shared" si="0"/>
        <v>SDO07_Frame-1 Robot E-Stop Relay Healthy 1/1</v>
      </c>
      <c r="P13" s="69" t="s">
        <v>115</v>
      </c>
      <c r="Q13" s="67"/>
      <c r="R13" s="67" t="s">
        <v>734</v>
      </c>
    </row>
    <row r="14" spans="2:18" ht="15.75">
      <c r="B14" s="67">
        <v>8</v>
      </c>
      <c r="C14" s="67" t="s">
        <v>136</v>
      </c>
      <c r="D14" s="67" t="s">
        <v>735</v>
      </c>
      <c r="E14" s="67" t="s">
        <v>110</v>
      </c>
      <c r="F14" s="68" t="s">
        <v>161</v>
      </c>
      <c r="G14" s="68" t="str">
        <f t="shared" si="1"/>
        <v>SDI08_Frame-1 Door Switch-3/2</v>
      </c>
      <c r="H14" s="67" t="s">
        <v>140</v>
      </c>
      <c r="I14" s="69"/>
      <c r="J14" s="67" t="s">
        <v>162</v>
      </c>
      <c r="K14" s="67">
        <v>8</v>
      </c>
      <c r="L14" s="67" t="s">
        <v>137</v>
      </c>
      <c r="M14" s="67" t="s">
        <v>736</v>
      </c>
      <c r="N14" s="68" t="s">
        <v>737</v>
      </c>
      <c r="O14" s="68" t="str">
        <f t="shared" si="0"/>
        <v>SDO08_Frame-1 Robot E-Stop Relay Healthy 1/2</v>
      </c>
      <c r="P14" s="69" t="s">
        <v>115</v>
      </c>
      <c r="Q14" s="67"/>
      <c r="R14" s="67" t="s">
        <v>738</v>
      </c>
    </row>
    <row r="15" spans="2:18" ht="15.75">
      <c r="B15" s="67">
        <v>9</v>
      </c>
      <c r="C15" s="67" t="s">
        <v>138</v>
      </c>
      <c r="D15" s="67" t="s">
        <v>739</v>
      </c>
      <c r="E15" s="67" t="s">
        <v>110</v>
      </c>
      <c r="F15" s="68" t="s">
        <v>740</v>
      </c>
      <c r="G15" s="68" t="str">
        <f t="shared" si="1"/>
        <v>SDI09_Frame-1 Tray Door Switch-4/1</v>
      </c>
      <c r="H15" s="67" t="s">
        <v>140</v>
      </c>
      <c r="I15" s="69"/>
      <c r="J15" s="67" t="s">
        <v>165</v>
      </c>
      <c r="K15" s="67">
        <v>9</v>
      </c>
      <c r="L15" s="67" t="s">
        <v>142</v>
      </c>
      <c r="M15" s="67" t="s">
        <v>741</v>
      </c>
      <c r="N15" s="68" t="s">
        <v>742</v>
      </c>
      <c r="O15" s="68" t="str">
        <f t="shared" si="0"/>
        <v>SDO09_Frame-1 Door Switch Coil-1,2,3/1</v>
      </c>
      <c r="P15" s="69" t="s">
        <v>143</v>
      </c>
      <c r="Q15" s="67"/>
      <c r="R15" s="67" t="s">
        <v>743</v>
      </c>
    </row>
    <row r="16" spans="2:18" ht="15.75">
      <c r="B16" s="67">
        <v>10</v>
      </c>
      <c r="C16" s="67" t="s">
        <v>144</v>
      </c>
      <c r="D16" s="67" t="s">
        <v>744</v>
      </c>
      <c r="E16" s="67" t="s">
        <v>110</v>
      </c>
      <c r="F16" s="68" t="s">
        <v>745</v>
      </c>
      <c r="G16" s="68" t="str">
        <f t="shared" si="1"/>
        <v>SDI10_Frame-1 Tray Door Switch-4/2</v>
      </c>
      <c r="H16" s="67" t="s">
        <v>140</v>
      </c>
      <c r="I16" s="69"/>
      <c r="J16" s="67" t="s">
        <v>168</v>
      </c>
      <c r="K16" s="67">
        <v>10</v>
      </c>
      <c r="L16" s="67" t="s">
        <v>147</v>
      </c>
      <c r="M16" s="67" t="s">
        <v>746</v>
      </c>
      <c r="N16" s="68" t="s">
        <v>747</v>
      </c>
      <c r="O16" s="68" t="str">
        <f t="shared" si="0"/>
        <v>SDO10_Frame-1 Door Switch Coil-1,2,3/2</v>
      </c>
      <c r="P16" s="69" t="s">
        <v>143</v>
      </c>
      <c r="Q16" s="67"/>
      <c r="R16" s="67" t="s">
        <v>748</v>
      </c>
    </row>
    <row r="17" spans="2:18" ht="15.75">
      <c r="B17" s="67">
        <v>11</v>
      </c>
      <c r="C17" s="67" t="s">
        <v>148</v>
      </c>
      <c r="D17" s="67" t="s">
        <v>749</v>
      </c>
      <c r="E17" s="67" t="s">
        <v>110</v>
      </c>
      <c r="F17" s="68" t="s">
        <v>750</v>
      </c>
      <c r="G17" s="68" t="str">
        <f t="shared" si="1"/>
        <v>SDI11_Frame-1 Tray Door Switch-5/1</v>
      </c>
      <c r="H17" s="67" t="s">
        <v>140</v>
      </c>
      <c r="I17" s="69"/>
      <c r="J17" s="67" t="s">
        <v>171</v>
      </c>
      <c r="K17" s="67">
        <v>11</v>
      </c>
      <c r="L17" s="67" t="s">
        <v>151</v>
      </c>
      <c r="M17" s="67" t="s">
        <v>751</v>
      </c>
      <c r="N17" s="68" t="s">
        <v>752</v>
      </c>
      <c r="O17" s="68" t="str">
        <f t="shared" si="0"/>
        <v>SDO11_Frame-1 Tray Door Switch Coil-4/1</v>
      </c>
      <c r="P17" s="69" t="s">
        <v>143</v>
      </c>
      <c r="Q17" s="67"/>
      <c r="R17" s="67" t="s">
        <v>165</v>
      </c>
    </row>
    <row r="18" spans="2:18" ht="15.75">
      <c r="B18" s="67">
        <v>12</v>
      </c>
      <c r="C18" s="67" t="s">
        <v>152</v>
      </c>
      <c r="D18" s="67" t="s">
        <v>753</v>
      </c>
      <c r="E18" s="67" t="s">
        <v>110</v>
      </c>
      <c r="F18" s="68" t="s">
        <v>754</v>
      </c>
      <c r="G18" s="68" t="str">
        <f t="shared" si="1"/>
        <v>SDI12_Frame-1 Tray Door Switch-5/2</v>
      </c>
      <c r="H18" s="67" t="s">
        <v>140</v>
      </c>
      <c r="I18" s="69"/>
      <c r="J18" s="67" t="s">
        <v>173</v>
      </c>
      <c r="K18" s="67">
        <v>12</v>
      </c>
      <c r="L18" s="67" t="s">
        <v>155</v>
      </c>
      <c r="M18" s="67" t="s">
        <v>755</v>
      </c>
      <c r="N18" s="68" t="s">
        <v>756</v>
      </c>
      <c r="O18" s="68" t="str">
        <f t="shared" si="0"/>
        <v>SDO12_Frame-1 Tray Door Switch Coil-4/2</v>
      </c>
      <c r="P18" s="69" t="s">
        <v>143</v>
      </c>
      <c r="Q18" s="67"/>
      <c r="R18" s="67" t="s">
        <v>168</v>
      </c>
    </row>
    <row r="19" spans="2:18" ht="15.75">
      <c r="B19" s="67">
        <v>13</v>
      </c>
      <c r="C19" s="67" t="s">
        <v>156</v>
      </c>
      <c r="D19" s="67" t="s">
        <v>757</v>
      </c>
      <c r="E19" s="67" t="s">
        <v>110</v>
      </c>
      <c r="F19" s="68" t="s">
        <v>204</v>
      </c>
      <c r="G19" s="184" t="str">
        <f t="shared" si="1"/>
        <v>SDI13_Tray Stacker Safety Cover Slide Position 01 FB</v>
      </c>
      <c r="H19" s="67" t="s">
        <v>758</v>
      </c>
      <c r="I19" s="69"/>
      <c r="J19" s="67"/>
      <c r="K19" s="67">
        <v>13</v>
      </c>
      <c r="L19" s="67" t="s">
        <v>159</v>
      </c>
      <c r="M19" s="67" t="s">
        <v>759</v>
      </c>
      <c r="N19" s="68" t="s">
        <v>760</v>
      </c>
      <c r="O19" s="68" t="str">
        <f t="shared" si="0"/>
        <v>SDO13_Frame-1 Tray Door Switch Coil-5/1</v>
      </c>
      <c r="P19" s="69" t="s">
        <v>143</v>
      </c>
      <c r="Q19" s="67"/>
      <c r="R19" s="67" t="s">
        <v>171</v>
      </c>
    </row>
    <row r="20" spans="2:18" ht="15.75">
      <c r="B20" s="67">
        <v>14</v>
      </c>
      <c r="C20" s="67" t="s">
        <v>160</v>
      </c>
      <c r="D20" s="67" t="s">
        <v>761</v>
      </c>
      <c r="E20" s="67" t="s">
        <v>110</v>
      </c>
      <c r="F20" s="68" t="s">
        <v>205</v>
      </c>
      <c r="G20" s="184" t="str">
        <f t="shared" si="1"/>
        <v>SDI14_Tray Stacker Safety Cover Slide Position 02 FB</v>
      </c>
      <c r="H20" s="67" t="s">
        <v>758</v>
      </c>
      <c r="I20" s="69"/>
      <c r="J20" s="67"/>
      <c r="K20" s="67">
        <v>14</v>
      </c>
      <c r="L20" s="67" t="s">
        <v>163</v>
      </c>
      <c r="M20" s="67" t="s">
        <v>762</v>
      </c>
      <c r="N20" s="68" t="s">
        <v>763</v>
      </c>
      <c r="O20" s="68" t="str">
        <f t="shared" si="0"/>
        <v>SDO14_Frame-1 Tray Door Switch Coil-5/2</v>
      </c>
      <c r="P20" s="69" t="s">
        <v>143</v>
      </c>
      <c r="Q20" s="67"/>
      <c r="R20" s="67" t="s">
        <v>173</v>
      </c>
    </row>
    <row r="21" spans="2:18" ht="15.75">
      <c r="B21" s="67">
        <v>15</v>
      </c>
      <c r="C21" s="67" t="s">
        <v>164</v>
      </c>
      <c r="D21" s="67" t="s">
        <v>764</v>
      </c>
      <c r="E21" s="67" t="s">
        <v>110</v>
      </c>
      <c r="F21" s="68" t="s">
        <v>129</v>
      </c>
      <c r="G21" s="68" t="str">
        <f t="shared" si="1"/>
        <v>SDI15_Spare DI</v>
      </c>
      <c r="H21" s="67"/>
      <c r="I21" s="69"/>
      <c r="J21" s="67"/>
      <c r="K21" s="67">
        <v>15</v>
      </c>
      <c r="L21" s="67" t="s">
        <v>166</v>
      </c>
      <c r="M21" s="67" t="s">
        <v>765</v>
      </c>
      <c r="N21" s="147" t="s">
        <v>135</v>
      </c>
      <c r="O21" s="68" t="str">
        <f t="shared" si="0"/>
        <v>SDO15_Spare DO</v>
      </c>
      <c r="P21" s="69"/>
      <c r="Q21" s="67"/>
      <c r="R21" s="67"/>
    </row>
    <row r="22" spans="2:18" ht="15.75">
      <c r="B22" s="67">
        <v>16</v>
      </c>
      <c r="C22" s="67" t="s">
        <v>167</v>
      </c>
      <c r="D22" s="67" t="s">
        <v>766</v>
      </c>
      <c r="E22" s="67" t="s">
        <v>110</v>
      </c>
      <c r="F22" s="68" t="s">
        <v>129</v>
      </c>
      <c r="G22" s="68" t="str">
        <f t="shared" si="1"/>
        <v>SDI16_Spare DI</v>
      </c>
      <c r="H22" s="67"/>
      <c r="I22" s="69"/>
      <c r="J22" s="67"/>
      <c r="K22" s="67">
        <v>16</v>
      </c>
      <c r="L22" s="67" t="s">
        <v>169</v>
      </c>
      <c r="M22" s="67" t="s">
        <v>767</v>
      </c>
      <c r="N22" s="147" t="s">
        <v>135</v>
      </c>
      <c r="O22" s="68" t="str">
        <f t="shared" si="0"/>
        <v>SDO16_Spare DO</v>
      </c>
      <c r="P22" s="69"/>
      <c r="Q22" s="67"/>
      <c r="R22" s="67"/>
    </row>
    <row r="23" spans="2:18" ht="15.75">
      <c r="B23" s="128">
        <v>1</v>
      </c>
      <c r="C23" s="129" t="s">
        <v>206</v>
      </c>
      <c r="D23" s="130" t="s">
        <v>768</v>
      </c>
      <c r="E23" s="150" t="s">
        <v>110</v>
      </c>
      <c r="F23" s="149" t="s">
        <v>207</v>
      </c>
      <c r="G23" s="185" t="str">
        <f t="shared" ref="G23:G36" si="2">CONCATENATE(C23,E23,F23)</f>
        <v>DI01_System Start PB @ HMI Panel</v>
      </c>
      <c r="H23" s="150" t="s">
        <v>208</v>
      </c>
      <c r="I23" s="70" t="s">
        <v>209</v>
      </c>
      <c r="J23" s="151" t="s">
        <v>210</v>
      </c>
      <c r="K23" s="128">
        <v>1</v>
      </c>
      <c r="L23" s="129" t="s">
        <v>211</v>
      </c>
      <c r="M23" s="130" t="s">
        <v>769</v>
      </c>
      <c r="N23" s="149" t="s">
        <v>213</v>
      </c>
      <c r="O23" s="149" t="str">
        <f t="shared" ref="O23:O30" si="3" xml:space="preserve"> CONCATENATE(L23,E23,N23)</f>
        <v>DO01_Tower Lamp Red @ HMI Panel</v>
      </c>
      <c r="P23" s="70" t="s">
        <v>214</v>
      </c>
      <c r="Q23" s="150" t="s">
        <v>209</v>
      </c>
      <c r="R23" s="150" t="s">
        <v>215</v>
      </c>
    </row>
    <row r="24" spans="2:18" ht="15.75">
      <c r="B24" s="108">
        <v>2</v>
      </c>
      <c r="C24" s="109" t="s">
        <v>216</v>
      </c>
      <c r="D24" s="130" t="s">
        <v>770</v>
      </c>
      <c r="E24" s="15" t="s">
        <v>110</v>
      </c>
      <c r="F24" s="50" t="s">
        <v>217</v>
      </c>
      <c r="G24" s="184" t="str">
        <f t="shared" si="2"/>
        <v>DI02_System Stop PB @ HMI Panel</v>
      </c>
      <c r="H24" s="15" t="s">
        <v>208</v>
      </c>
      <c r="I24" s="26" t="s">
        <v>209</v>
      </c>
      <c r="J24" s="121" t="s">
        <v>218</v>
      </c>
      <c r="K24" s="108">
        <v>2</v>
      </c>
      <c r="L24" s="109" t="s">
        <v>219</v>
      </c>
      <c r="M24" s="130" t="s">
        <v>771</v>
      </c>
      <c r="N24" s="50" t="s">
        <v>221</v>
      </c>
      <c r="O24" s="50" t="str">
        <f t="shared" si="3"/>
        <v>DO02_Tower Lamp Amber@ HMI Panel</v>
      </c>
      <c r="P24" s="26" t="s">
        <v>214</v>
      </c>
      <c r="Q24" s="15" t="s">
        <v>209</v>
      </c>
      <c r="R24" s="15" t="s">
        <v>222</v>
      </c>
    </row>
    <row r="25" spans="2:18" ht="15.75">
      <c r="B25" s="108">
        <v>3</v>
      </c>
      <c r="C25" s="109" t="s">
        <v>223</v>
      </c>
      <c r="D25" s="130" t="s">
        <v>772</v>
      </c>
      <c r="E25" s="15" t="s">
        <v>110</v>
      </c>
      <c r="F25" s="50" t="s">
        <v>224</v>
      </c>
      <c r="G25" s="184" t="str">
        <f t="shared" si="2"/>
        <v>DI03_System Reset PB  @ HMI Panel</v>
      </c>
      <c r="H25" s="15" t="s">
        <v>208</v>
      </c>
      <c r="I25" s="26" t="s">
        <v>209</v>
      </c>
      <c r="J25" s="121" t="s">
        <v>225</v>
      </c>
      <c r="K25" s="108">
        <v>3</v>
      </c>
      <c r="L25" s="109" t="s">
        <v>226</v>
      </c>
      <c r="M25" s="130" t="s">
        <v>773</v>
      </c>
      <c r="N25" s="50" t="s">
        <v>228</v>
      </c>
      <c r="O25" s="50" t="str">
        <f t="shared" si="3"/>
        <v>DO03_Tower Lamp Green@ HMI Panel</v>
      </c>
      <c r="P25" s="26" t="s">
        <v>214</v>
      </c>
      <c r="Q25" s="15" t="s">
        <v>209</v>
      </c>
      <c r="R25" s="15" t="s">
        <v>229</v>
      </c>
    </row>
    <row r="26" spans="2:18" ht="15.75">
      <c r="B26" s="108">
        <v>4</v>
      </c>
      <c r="C26" s="109" t="s">
        <v>230</v>
      </c>
      <c r="D26" s="130" t="s">
        <v>774</v>
      </c>
      <c r="E26" s="15" t="s">
        <v>110</v>
      </c>
      <c r="F26" s="50" t="s">
        <v>231</v>
      </c>
      <c r="G26" s="184" t="str">
        <f t="shared" si="2"/>
        <v>DI04_Safety Reset PB @ HMI Panel</v>
      </c>
      <c r="H26" s="15" t="s">
        <v>208</v>
      </c>
      <c r="I26" s="26" t="s">
        <v>209</v>
      </c>
      <c r="J26" s="121" t="s">
        <v>232</v>
      </c>
      <c r="K26" s="108">
        <v>4</v>
      </c>
      <c r="L26" s="109" t="s">
        <v>233</v>
      </c>
      <c r="M26" s="130" t="s">
        <v>775</v>
      </c>
      <c r="N26" s="50" t="s">
        <v>235</v>
      </c>
      <c r="O26" s="50" t="str">
        <f t="shared" si="3"/>
        <v>DO04_Tower Lamp Buzzer@ HMI Panel</v>
      </c>
      <c r="P26" s="26" t="s">
        <v>214</v>
      </c>
      <c r="Q26" s="15" t="s">
        <v>209</v>
      </c>
      <c r="R26" s="15" t="s">
        <v>236</v>
      </c>
    </row>
    <row r="27" spans="2:18" ht="15.75">
      <c r="B27" s="108">
        <v>5</v>
      </c>
      <c r="C27" s="109" t="s">
        <v>237</v>
      </c>
      <c r="D27" s="130" t="s">
        <v>776</v>
      </c>
      <c r="E27" s="15" t="s">
        <v>110</v>
      </c>
      <c r="F27" s="50" t="s">
        <v>238</v>
      </c>
      <c r="G27" s="184" t="str">
        <f t="shared" si="2"/>
        <v>DI05_Line Monitor Relay Healthy</v>
      </c>
      <c r="H27" s="15"/>
      <c r="I27" s="26" t="s">
        <v>209</v>
      </c>
      <c r="J27" s="121"/>
      <c r="K27" s="108">
        <v>5</v>
      </c>
      <c r="L27" s="109" t="s">
        <v>239</v>
      </c>
      <c r="M27" s="130" t="s">
        <v>777</v>
      </c>
      <c r="N27" s="86" t="s">
        <v>241</v>
      </c>
      <c r="O27" s="184" t="str">
        <f t="shared" si="3"/>
        <v>DO05_System Start Lamp</v>
      </c>
      <c r="P27" s="26" t="s">
        <v>242</v>
      </c>
      <c r="Q27" s="15" t="s">
        <v>209</v>
      </c>
      <c r="R27" s="15" t="s">
        <v>210</v>
      </c>
    </row>
    <row r="28" spans="2:18" ht="15.75">
      <c r="B28" s="108">
        <v>6</v>
      </c>
      <c r="C28" s="109" t="s">
        <v>243</v>
      </c>
      <c r="D28" s="130" t="s">
        <v>778</v>
      </c>
      <c r="E28" s="15" t="s">
        <v>110</v>
      </c>
      <c r="F28" s="50" t="s">
        <v>129</v>
      </c>
      <c r="G28" s="50" t="str">
        <f t="shared" si="2"/>
        <v>DI06_Spare DI</v>
      </c>
      <c r="H28" s="15"/>
      <c r="I28" s="26" t="s">
        <v>209</v>
      </c>
      <c r="J28" s="121"/>
      <c r="K28" s="108">
        <v>6</v>
      </c>
      <c r="L28" s="109" t="s">
        <v>244</v>
      </c>
      <c r="M28" s="130" t="s">
        <v>779</v>
      </c>
      <c r="N28" s="86" t="s">
        <v>246</v>
      </c>
      <c r="O28" s="184" t="str">
        <f t="shared" si="3"/>
        <v>DO06_System Reset Lamp</v>
      </c>
      <c r="P28" s="26" t="s">
        <v>242</v>
      </c>
      <c r="Q28" s="15" t="s">
        <v>209</v>
      </c>
      <c r="R28" s="15" t="s">
        <v>225</v>
      </c>
    </row>
    <row r="29" spans="2:18" ht="15.75">
      <c r="B29" s="108">
        <v>7</v>
      </c>
      <c r="C29" s="109" t="s">
        <v>247</v>
      </c>
      <c r="D29" s="130" t="s">
        <v>780</v>
      </c>
      <c r="E29" s="15" t="s">
        <v>110</v>
      </c>
      <c r="F29" s="50" t="s">
        <v>129</v>
      </c>
      <c r="G29" s="50" t="str">
        <f t="shared" si="2"/>
        <v>DI07_Spare DI</v>
      </c>
      <c r="H29" s="15"/>
      <c r="I29" s="26" t="s">
        <v>209</v>
      </c>
      <c r="J29" s="121"/>
      <c r="K29" s="108">
        <v>7</v>
      </c>
      <c r="L29" s="109" t="s">
        <v>248</v>
      </c>
      <c r="M29" s="130" t="s">
        <v>781</v>
      </c>
      <c r="N29" s="86" t="s">
        <v>250</v>
      </c>
      <c r="O29" s="184" t="str">
        <f t="shared" si="3"/>
        <v>DO07_Safety Reset Lamp</v>
      </c>
      <c r="P29" s="26" t="s">
        <v>242</v>
      </c>
      <c r="Q29" s="15" t="s">
        <v>209</v>
      </c>
      <c r="R29" s="15" t="s">
        <v>232</v>
      </c>
    </row>
    <row r="30" spans="2:18" ht="16.5" thickBot="1">
      <c r="B30" s="110">
        <v>8</v>
      </c>
      <c r="C30" s="111" t="s">
        <v>251</v>
      </c>
      <c r="D30" s="130" t="s">
        <v>782</v>
      </c>
      <c r="E30" s="15" t="s">
        <v>110</v>
      </c>
      <c r="F30" s="50" t="s">
        <v>252</v>
      </c>
      <c r="G30" s="50" t="str">
        <f t="shared" si="2"/>
        <v>DI08_Air Pressure Switch</v>
      </c>
      <c r="H30" s="15" t="s">
        <v>253</v>
      </c>
      <c r="I30" s="26" t="s">
        <v>209</v>
      </c>
      <c r="J30" s="122" t="s">
        <v>254</v>
      </c>
      <c r="K30" s="110">
        <v>8</v>
      </c>
      <c r="L30" s="111" t="s">
        <v>255</v>
      </c>
      <c r="M30" s="130" t="s">
        <v>783</v>
      </c>
      <c r="N30" s="50" t="s">
        <v>135</v>
      </c>
      <c r="O30" s="50" t="str">
        <f t="shared" si="3"/>
        <v>DO08_Spare DO</v>
      </c>
      <c r="P30" s="26"/>
      <c r="Q30" s="15" t="s">
        <v>209</v>
      </c>
      <c r="R30" s="155"/>
    </row>
    <row r="31" spans="2:18" ht="15.75">
      <c r="B31" s="106">
        <v>9</v>
      </c>
      <c r="C31" s="107" t="s">
        <v>258</v>
      </c>
      <c r="D31" s="104" t="s">
        <v>784</v>
      </c>
      <c r="E31" s="15" t="s">
        <v>110</v>
      </c>
      <c r="F31" s="96" t="s">
        <v>259</v>
      </c>
      <c r="G31" s="184" t="str">
        <f t="shared" si="2"/>
        <v>DI09_Tray Pusher Servo 01 Trip Healthy</v>
      </c>
      <c r="H31" s="15" t="s">
        <v>277</v>
      </c>
      <c r="I31" s="26" t="s">
        <v>209</v>
      </c>
      <c r="J31" s="121"/>
      <c r="K31" s="106">
        <v>9</v>
      </c>
      <c r="L31" s="107" t="s">
        <v>260</v>
      </c>
      <c r="M31" s="104" t="s">
        <v>212</v>
      </c>
      <c r="N31" s="96" t="s">
        <v>257</v>
      </c>
      <c r="O31" s="50" t="str">
        <f t="shared" ref="O31:O46" si="4" xml:space="preserve"> CONCATENATE(L31,E31,N31)</f>
        <v>DO09_Vacuum Pump Enable</v>
      </c>
      <c r="P31" s="15" t="s">
        <v>262</v>
      </c>
      <c r="Q31" s="15" t="s">
        <v>209</v>
      </c>
      <c r="R31" s="15" t="s">
        <v>53</v>
      </c>
    </row>
    <row r="32" spans="2:18" ht="15.75">
      <c r="B32" s="108">
        <v>10</v>
      </c>
      <c r="C32" s="109" t="s">
        <v>264</v>
      </c>
      <c r="D32" s="104" t="s">
        <v>785</v>
      </c>
      <c r="E32" s="15" t="s">
        <v>110</v>
      </c>
      <c r="F32" s="96" t="s">
        <v>265</v>
      </c>
      <c r="G32" s="184" t="str">
        <f t="shared" si="2"/>
        <v>DI10_Plate Pusher Servo 01 Trip Healthy</v>
      </c>
      <c r="H32" s="15" t="s">
        <v>277</v>
      </c>
      <c r="I32" s="26" t="s">
        <v>209</v>
      </c>
      <c r="J32" s="121"/>
      <c r="K32" s="108">
        <v>10</v>
      </c>
      <c r="L32" s="109" t="s">
        <v>266</v>
      </c>
      <c r="M32" s="104" t="s">
        <v>220</v>
      </c>
      <c r="N32" s="50" t="s">
        <v>135</v>
      </c>
      <c r="O32" s="50" t="str">
        <f t="shared" si="4"/>
        <v>DO10_Spare DO</v>
      </c>
      <c r="P32" s="15"/>
      <c r="Q32" s="15" t="s">
        <v>209</v>
      </c>
      <c r="R32" s="15"/>
    </row>
    <row r="33" spans="2:18" ht="15.75">
      <c r="B33" s="108">
        <v>11</v>
      </c>
      <c r="C33" s="109" t="s">
        <v>270</v>
      </c>
      <c r="D33" s="104" t="s">
        <v>786</v>
      </c>
      <c r="E33" s="15" t="s">
        <v>110</v>
      </c>
      <c r="F33" s="96" t="s">
        <v>271</v>
      </c>
      <c r="G33" s="184" t="str">
        <f t="shared" si="2"/>
        <v>DI11_Plate Guide Servo 01 Trip Healthy</v>
      </c>
      <c r="H33" s="15" t="s">
        <v>277</v>
      </c>
      <c r="I33" s="26" t="s">
        <v>209</v>
      </c>
      <c r="J33" s="121"/>
      <c r="K33" s="108">
        <v>11</v>
      </c>
      <c r="L33" s="109" t="s">
        <v>272</v>
      </c>
      <c r="M33" s="104" t="s">
        <v>227</v>
      </c>
      <c r="N33" s="139" t="s">
        <v>268</v>
      </c>
      <c r="O33" s="50" t="str">
        <f t="shared" si="4"/>
        <v>DO11_Plate Feeding Machine Start Signal</v>
      </c>
      <c r="P33" s="15" t="s">
        <v>787</v>
      </c>
      <c r="Q33" s="15" t="s">
        <v>209</v>
      </c>
      <c r="R33" s="15"/>
    </row>
    <row r="34" spans="2:18" ht="15.75">
      <c r="B34" s="108">
        <v>12</v>
      </c>
      <c r="C34" s="109" t="s">
        <v>275</v>
      </c>
      <c r="D34" s="104" t="s">
        <v>788</v>
      </c>
      <c r="E34" s="15" t="s">
        <v>110</v>
      </c>
      <c r="F34" s="96" t="s">
        <v>276</v>
      </c>
      <c r="G34" s="184" t="str">
        <f t="shared" si="2"/>
        <v>DI12_Tray Pusher Servo 02 Trip Healthy</v>
      </c>
      <c r="H34" s="15" t="s">
        <v>277</v>
      </c>
      <c r="I34" s="26" t="s">
        <v>209</v>
      </c>
      <c r="J34" s="122"/>
      <c r="K34" s="108">
        <v>12</v>
      </c>
      <c r="L34" s="109" t="s">
        <v>278</v>
      </c>
      <c r="M34" s="104" t="s">
        <v>234</v>
      </c>
      <c r="N34" s="50" t="s">
        <v>274</v>
      </c>
      <c r="O34" s="50" t="str">
        <f t="shared" si="4"/>
        <v>DO12_Bowl Feeder 01 Enable Signal</v>
      </c>
      <c r="P34" s="15" t="s">
        <v>787</v>
      </c>
      <c r="Q34" s="15" t="s">
        <v>209</v>
      </c>
      <c r="R34" s="15"/>
    </row>
    <row r="35" spans="2:18" ht="15.75">
      <c r="B35" s="108">
        <v>13</v>
      </c>
      <c r="C35" s="109" t="s">
        <v>281</v>
      </c>
      <c r="D35" s="104" t="s">
        <v>789</v>
      </c>
      <c r="E35" s="15" t="s">
        <v>110</v>
      </c>
      <c r="F35" s="96" t="s">
        <v>282</v>
      </c>
      <c r="G35" s="184" t="str">
        <f t="shared" si="2"/>
        <v>DI13_Plate Pusher Servo 02 Trip Healthy</v>
      </c>
      <c r="H35" s="15" t="s">
        <v>277</v>
      </c>
      <c r="I35" s="26" t="s">
        <v>209</v>
      </c>
      <c r="J35" s="122"/>
      <c r="K35" s="108">
        <v>13</v>
      </c>
      <c r="L35" s="109" t="s">
        <v>283</v>
      </c>
      <c r="M35" s="104" t="s">
        <v>240</v>
      </c>
      <c r="N35" s="139" t="s">
        <v>280</v>
      </c>
      <c r="O35" s="50" t="str">
        <f t="shared" si="4"/>
        <v>DO13_Linear Feeder 01 Enable Signal</v>
      </c>
      <c r="P35" s="15" t="s">
        <v>787</v>
      </c>
      <c r="Q35" s="15" t="s">
        <v>209</v>
      </c>
      <c r="R35" s="15"/>
    </row>
    <row r="36" spans="2:18" ht="15.75">
      <c r="B36" s="108">
        <v>14</v>
      </c>
      <c r="C36" s="109" t="s">
        <v>286</v>
      </c>
      <c r="D36" s="104" t="s">
        <v>790</v>
      </c>
      <c r="E36" s="15" t="s">
        <v>110</v>
      </c>
      <c r="F36" s="96" t="s">
        <v>287</v>
      </c>
      <c r="G36" s="184" t="str">
        <f t="shared" si="2"/>
        <v>DI14_Plate Guide Servo 02 Trip Healthy</v>
      </c>
      <c r="H36" s="15" t="s">
        <v>277</v>
      </c>
      <c r="I36" s="26" t="s">
        <v>209</v>
      </c>
      <c r="J36" s="122"/>
      <c r="K36" s="108">
        <v>14</v>
      </c>
      <c r="L36" s="109" t="s">
        <v>288</v>
      </c>
      <c r="M36" s="104" t="s">
        <v>245</v>
      </c>
      <c r="N36" s="139" t="s">
        <v>285</v>
      </c>
      <c r="O36" s="50" t="str">
        <f t="shared" si="4"/>
        <v>DO14_Linear Feeder 01 High Speed Signal</v>
      </c>
      <c r="P36" s="15" t="s">
        <v>787</v>
      </c>
      <c r="Q36" s="15" t="s">
        <v>209</v>
      </c>
      <c r="R36" s="15"/>
    </row>
    <row r="37" spans="2:18" ht="15.75">
      <c r="B37" s="108">
        <v>15</v>
      </c>
      <c r="C37" s="109" t="s">
        <v>291</v>
      </c>
      <c r="D37" s="104" t="s">
        <v>791</v>
      </c>
      <c r="E37" s="15" t="s">
        <v>110</v>
      </c>
      <c r="F37" s="96" t="s">
        <v>300</v>
      </c>
      <c r="G37" s="184" t="str">
        <f t="shared" ref="G37:G70" si="5">CONCATENATE(C37,E37,F37)</f>
        <v>DI15_Plate Feeding Conveyor Trip Healthy</v>
      </c>
      <c r="H37" s="15" t="s">
        <v>277</v>
      </c>
      <c r="I37" s="26" t="s">
        <v>209</v>
      </c>
      <c r="J37" s="122"/>
      <c r="K37" s="108">
        <v>15</v>
      </c>
      <c r="L37" s="109" t="s">
        <v>292</v>
      </c>
      <c r="M37" s="104" t="s">
        <v>249</v>
      </c>
      <c r="N37" s="139" t="s">
        <v>290</v>
      </c>
      <c r="O37" s="50" t="str">
        <f t="shared" si="4"/>
        <v>DO15_Linear Feeder 01 Slow Speed Signal</v>
      </c>
      <c r="P37" s="15" t="s">
        <v>787</v>
      </c>
      <c r="Q37" s="15" t="s">
        <v>209</v>
      </c>
      <c r="R37" s="15"/>
    </row>
    <row r="38" spans="2:18" ht="16.5" thickBot="1">
      <c r="B38" s="110">
        <v>16</v>
      </c>
      <c r="C38" s="111" t="s">
        <v>295</v>
      </c>
      <c r="D38" s="104" t="s">
        <v>792</v>
      </c>
      <c r="E38" s="15" t="s">
        <v>110</v>
      </c>
      <c r="F38" s="96" t="s">
        <v>304</v>
      </c>
      <c r="G38" s="184" t="str">
        <f t="shared" si="5"/>
        <v>DI16_Tray Feeding Conveyor Trip Healthy</v>
      </c>
      <c r="H38" s="15" t="s">
        <v>277</v>
      </c>
      <c r="I38" s="26" t="s">
        <v>209</v>
      </c>
      <c r="J38" s="121"/>
      <c r="K38" s="123">
        <v>16</v>
      </c>
      <c r="L38" s="124" t="s">
        <v>296</v>
      </c>
      <c r="M38" s="104" t="s">
        <v>256</v>
      </c>
      <c r="N38" s="50" t="s">
        <v>294</v>
      </c>
      <c r="O38" s="50" t="str">
        <f t="shared" si="4"/>
        <v>DO16_Bowl Feeder 02 Enable Signal</v>
      </c>
      <c r="P38" s="15" t="s">
        <v>787</v>
      </c>
      <c r="Q38" s="15" t="s">
        <v>209</v>
      </c>
      <c r="R38" s="15"/>
    </row>
    <row r="39" spans="2:18" ht="15.75">
      <c r="B39" s="106">
        <v>17</v>
      </c>
      <c r="C39" s="107" t="s">
        <v>299</v>
      </c>
      <c r="D39" s="104" t="s">
        <v>793</v>
      </c>
      <c r="E39" s="15" t="s">
        <v>110</v>
      </c>
      <c r="F39" s="96" t="s">
        <v>336</v>
      </c>
      <c r="G39" s="184" t="str">
        <f t="shared" si="5"/>
        <v>DI17_Printer Assembly Servo Slide Trip Healthy</v>
      </c>
      <c r="H39" s="15" t="s">
        <v>277</v>
      </c>
      <c r="I39" s="26" t="s">
        <v>209</v>
      </c>
      <c r="J39" s="122"/>
      <c r="K39" s="106">
        <v>17</v>
      </c>
      <c r="L39" s="107" t="s">
        <v>301</v>
      </c>
      <c r="M39" s="104" t="s">
        <v>261</v>
      </c>
      <c r="N39" s="139" t="s">
        <v>298</v>
      </c>
      <c r="O39" s="50" t="str">
        <f t="shared" si="4"/>
        <v>DO17_Linear Feeder 02 Enable Signal</v>
      </c>
      <c r="P39" s="15" t="s">
        <v>787</v>
      </c>
      <c r="Q39" s="15" t="s">
        <v>209</v>
      </c>
      <c r="R39" s="15"/>
    </row>
    <row r="40" spans="2:18" ht="15.75">
      <c r="B40" s="108">
        <v>18</v>
      </c>
      <c r="C40" s="109" t="s">
        <v>303</v>
      </c>
      <c r="D40" s="104" t="s">
        <v>794</v>
      </c>
      <c r="E40" s="15" t="s">
        <v>110</v>
      </c>
      <c r="F40" s="50" t="s">
        <v>129</v>
      </c>
      <c r="G40" s="50" t="str">
        <f t="shared" si="5"/>
        <v>DI18_Spare DI</v>
      </c>
      <c r="I40" s="26" t="s">
        <v>209</v>
      </c>
      <c r="J40" s="122"/>
      <c r="K40" s="123">
        <v>18</v>
      </c>
      <c r="L40" s="124" t="s">
        <v>305</v>
      </c>
      <c r="M40" s="104" t="s">
        <v>267</v>
      </c>
      <c r="N40" s="139" t="s">
        <v>302</v>
      </c>
      <c r="O40" s="50" t="str">
        <f t="shared" si="4"/>
        <v>DO18_Linear Feeder 02 High Speed Signal</v>
      </c>
      <c r="P40" s="15" t="s">
        <v>787</v>
      </c>
      <c r="Q40" s="15" t="s">
        <v>209</v>
      </c>
      <c r="R40" s="15"/>
    </row>
    <row r="41" spans="2:18" ht="15.75">
      <c r="B41" s="108">
        <v>19</v>
      </c>
      <c r="C41" s="109" t="s">
        <v>307</v>
      </c>
      <c r="D41" s="104" t="s">
        <v>795</v>
      </c>
      <c r="E41" s="15" t="s">
        <v>110</v>
      </c>
      <c r="F41" s="96" t="s">
        <v>314</v>
      </c>
      <c r="G41" s="50" t="str">
        <f t="shared" si="5"/>
        <v>DI19_Power Panel Frame 02 Trip Healthy</v>
      </c>
      <c r="H41" s="15" t="s">
        <v>277</v>
      </c>
      <c r="I41" s="26" t="s">
        <v>209</v>
      </c>
      <c r="J41" s="121"/>
      <c r="K41" s="108">
        <v>19</v>
      </c>
      <c r="L41" s="109" t="s">
        <v>308</v>
      </c>
      <c r="M41" s="104" t="s">
        <v>273</v>
      </c>
      <c r="N41" s="139" t="s">
        <v>306</v>
      </c>
      <c r="O41" s="50" t="str">
        <f t="shared" si="4"/>
        <v>DO19_Linear Feeder 02 Slow Speed Signal</v>
      </c>
      <c r="P41" s="15" t="s">
        <v>787</v>
      </c>
      <c r="Q41" s="15" t="s">
        <v>209</v>
      </c>
      <c r="R41" s="15"/>
    </row>
    <row r="42" spans="2:18" ht="15.75">
      <c r="B42" s="108">
        <v>20</v>
      </c>
      <c r="C42" s="109" t="s">
        <v>310</v>
      </c>
      <c r="D42" s="104" t="s">
        <v>796</v>
      </c>
      <c r="E42" s="15" t="s">
        <v>110</v>
      </c>
      <c r="F42" s="96" t="s">
        <v>797</v>
      </c>
      <c r="G42" s="50" t="str">
        <f t="shared" si="5"/>
        <v>DI20_Bowl Feeder Bowl Motor 01 Trip Healthy</v>
      </c>
      <c r="H42" s="15" t="s">
        <v>798</v>
      </c>
      <c r="I42" s="26" t="s">
        <v>209</v>
      </c>
      <c r="J42" s="121"/>
      <c r="K42" s="123">
        <v>20</v>
      </c>
      <c r="L42" s="124" t="s">
        <v>311</v>
      </c>
      <c r="M42" s="104" t="s">
        <v>279</v>
      </c>
      <c r="N42" s="139" t="s">
        <v>309</v>
      </c>
      <c r="O42" s="50" t="str">
        <f t="shared" si="4"/>
        <v>DO20_Printer 01 Head 01 Print Signal</v>
      </c>
      <c r="P42" s="15" t="s">
        <v>787</v>
      </c>
      <c r="Q42" s="15" t="s">
        <v>209</v>
      </c>
      <c r="R42" s="15"/>
    </row>
    <row r="43" spans="2:18" ht="15.75">
      <c r="B43" s="108">
        <v>21</v>
      </c>
      <c r="C43" s="109" t="s">
        <v>313</v>
      </c>
      <c r="D43" s="104" t="s">
        <v>799</v>
      </c>
      <c r="E43" s="15" t="s">
        <v>110</v>
      </c>
      <c r="F43" s="96" t="s">
        <v>800</v>
      </c>
      <c r="G43" s="50" t="str">
        <f t="shared" si="5"/>
        <v>DI21_Bowl Feeder Linear Motor 01 Trip Healthy</v>
      </c>
      <c r="H43" s="15" t="s">
        <v>798</v>
      </c>
      <c r="I43" s="26" t="s">
        <v>209</v>
      </c>
      <c r="J43" s="121"/>
      <c r="K43" s="108">
        <v>21</v>
      </c>
      <c r="L43" s="109" t="s">
        <v>315</v>
      </c>
      <c r="M43" s="104" t="s">
        <v>284</v>
      </c>
      <c r="N43" s="139" t="s">
        <v>312</v>
      </c>
      <c r="O43" s="50" t="str">
        <f t="shared" si="4"/>
        <v>DO21_Printer 01 Head 02 Print Signal</v>
      </c>
      <c r="P43" s="15" t="s">
        <v>787</v>
      </c>
      <c r="Q43" s="15" t="s">
        <v>209</v>
      </c>
      <c r="R43" s="15"/>
    </row>
    <row r="44" spans="2:18" ht="15.75">
      <c r="B44" s="108">
        <v>22</v>
      </c>
      <c r="C44" s="109" t="s">
        <v>317</v>
      </c>
      <c r="D44" s="104" t="s">
        <v>801</v>
      </c>
      <c r="E44" s="15" t="s">
        <v>110</v>
      </c>
      <c r="F44" s="96" t="s">
        <v>802</v>
      </c>
      <c r="G44" s="50" t="str">
        <f t="shared" si="5"/>
        <v>DI22_Bowl Feeder Bowl Motor 02 Trip Healthy</v>
      </c>
      <c r="H44" s="15" t="s">
        <v>798</v>
      </c>
      <c r="I44" s="26" t="s">
        <v>209</v>
      </c>
      <c r="J44" s="121"/>
      <c r="K44" s="123">
        <v>22</v>
      </c>
      <c r="L44" s="124" t="s">
        <v>319</v>
      </c>
      <c r="M44" s="104" t="s">
        <v>289</v>
      </c>
      <c r="N44" s="139" t="s">
        <v>316</v>
      </c>
      <c r="O44" s="50" t="str">
        <f t="shared" si="4"/>
        <v>DO22_Printer 02 Head 01 Print Signal</v>
      </c>
      <c r="P44" s="15" t="s">
        <v>787</v>
      </c>
      <c r="Q44" s="15" t="s">
        <v>209</v>
      </c>
      <c r="R44" s="15"/>
    </row>
    <row r="45" spans="2:18" ht="15.75">
      <c r="B45" s="108">
        <v>23</v>
      </c>
      <c r="C45" s="109" t="s">
        <v>321</v>
      </c>
      <c r="D45" s="104" t="s">
        <v>803</v>
      </c>
      <c r="E45" s="15" t="s">
        <v>110</v>
      </c>
      <c r="F45" s="96" t="s">
        <v>804</v>
      </c>
      <c r="G45" s="50" t="str">
        <f t="shared" si="5"/>
        <v>DI23_Bowl Feeder Linear Motor 02 Trip Healthy</v>
      </c>
      <c r="H45" s="15" t="s">
        <v>798</v>
      </c>
      <c r="I45" s="26" t="s">
        <v>209</v>
      </c>
      <c r="J45" s="121"/>
      <c r="K45" s="108">
        <v>23</v>
      </c>
      <c r="L45" s="109" t="s">
        <v>323</v>
      </c>
      <c r="M45" s="104" t="s">
        <v>293</v>
      </c>
      <c r="N45" s="139" t="s">
        <v>320</v>
      </c>
      <c r="O45" s="50" t="str">
        <f t="shared" si="4"/>
        <v>DO23_Printer 02 Head 02 Print Signal</v>
      </c>
      <c r="P45" s="15" t="s">
        <v>787</v>
      </c>
      <c r="Q45" s="15" t="s">
        <v>209</v>
      </c>
      <c r="R45" s="15"/>
    </row>
    <row r="46" spans="2:18" ht="16.5" thickBot="1">
      <c r="B46" s="110">
        <v>24</v>
      </c>
      <c r="C46" s="111" t="s">
        <v>324</v>
      </c>
      <c r="D46" s="104" t="s">
        <v>805</v>
      </c>
      <c r="E46" s="15" t="s">
        <v>110</v>
      </c>
      <c r="F46" s="96" t="s">
        <v>806</v>
      </c>
      <c r="G46" s="50" t="str">
        <f t="shared" si="5"/>
        <v>DI24_Tray Stacker Step Servo-1 Trip Healthy</v>
      </c>
      <c r="H46" s="15" t="s">
        <v>798</v>
      </c>
      <c r="I46" s="26" t="s">
        <v>209</v>
      </c>
      <c r="J46" s="121"/>
      <c r="K46" s="110">
        <v>24</v>
      </c>
      <c r="L46" s="111" t="s">
        <v>326</v>
      </c>
      <c r="M46" s="104" t="s">
        <v>297</v>
      </c>
      <c r="N46" s="50" t="s">
        <v>135</v>
      </c>
      <c r="O46" s="50" t="str">
        <f t="shared" si="4"/>
        <v>DO24_Spare DO</v>
      </c>
      <c r="P46" s="15"/>
      <c r="Q46" s="15"/>
      <c r="R46" s="15"/>
    </row>
    <row r="47" spans="2:18" ht="15.75">
      <c r="B47" s="106">
        <v>25</v>
      </c>
      <c r="C47" s="107" t="s">
        <v>327</v>
      </c>
      <c r="D47" s="104" t="s">
        <v>807</v>
      </c>
      <c r="E47" s="15" t="s">
        <v>110</v>
      </c>
      <c r="F47" s="96" t="s">
        <v>808</v>
      </c>
      <c r="G47" s="50" t="str">
        <f t="shared" si="5"/>
        <v>DI25_Tray Stacker Step Servo-2 Trip Healthy</v>
      </c>
      <c r="H47" s="15" t="s">
        <v>798</v>
      </c>
      <c r="I47" s="26" t="s">
        <v>209</v>
      </c>
      <c r="J47" s="121"/>
    </row>
    <row r="48" spans="2:18" ht="15.75">
      <c r="B48" s="108">
        <v>26</v>
      </c>
      <c r="C48" s="109" t="s">
        <v>335</v>
      </c>
      <c r="D48" s="104" t="s">
        <v>809</v>
      </c>
      <c r="E48" s="15" t="s">
        <v>110</v>
      </c>
      <c r="F48" s="96" t="s">
        <v>810</v>
      </c>
      <c r="G48" s="50" t="str">
        <f t="shared" si="5"/>
        <v>DI26_Bowl Feeder Bowl Motor 01 Running FB</v>
      </c>
      <c r="H48" s="15" t="s">
        <v>811</v>
      </c>
      <c r="I48" s="26" t="s">
        <v>209</v>
      </c>
      <c r="J48" s="121"/>
    </row>
    <row r="49" spans="2:10" ht="15.75">
      <c r="B49" s="108">
        <v>27</v>
      </c>
      <c r="C49" s="109" t="s">
        <v>341</v>
      </c>
      <c r="D49" s="104" t="s">
        <v>812</v>
      </c>
      <c r="E49" s="15" t="s">
        <v>110</v>
      </c>
      <c r="F49" s="96" t="s">
        <v>813</v>
      </c>
      <c r="G49" s="50" t="str">
        <f t="shared" si="5"/>
        <v>DI27_Bowl Feeder Linear Motor 01 Running FB</v>
      </c>
      <c r="H49" s="15" t="s">
        <v>811</v>
      </c>
      <c r="I49" s="26" t="s">
        <v>209</v>
      </c>
      <c r="J49" s="121"/>
    </row>
    <row r="50" spans="2:10" ht="15.75">
      <c r="B50" s="108">
        <v>28</v>
      </c>
      <c r="C50" s="109" t="s">
        <v>346</v>
      </c>
      <c r="D50" s="104" t="s">
        <v>814</v>
      </c>
      <c r="E50" s="15" t="s">
        <v>110</v>
      </c>
      <c r="F50" s="96" t="s">
        <v>815</v>
      </c>
      <c r="G50" s="50" t="str">
        <f t="shared" si="5"/>
        <v>DI28_Bowl Feeder Bowl Motor 02 Running FB</v>
      </c>
      <c r="H50" s="15" t="s">
        <v>811</v>
      </c>
      <c r="I50" s="26" t="s">
        <v>209</v>
      </c>
      <c r="J50" s="121"/>
    </row>
    <row r="51" spans="2:10" ht="15.75">
      <c r="B51" s="108">
        <v>29</v>
      </c>
      <c r="C51" s="109" t="s">
        <v>352</v>
      </c>
      <c r="D51" s="104" t="s">
        <v>816</v>
      </c>
      <c r="E51" s="15" t="s">
        <v>110</v>
      </c>
      <c r="F51" s="96" t="s">
        <v>817</v>
      </c>
      <c r="G51" s="50" t="str">
        <f t="shared" si="5"/>
        <v>DI29_Bowl Feeder Linear Motor 02 Running FB</v>
      </c>
      <c r="H51" s="15" t="s">
        <v>811</v>
      </c>
      <c r="I51" s="26" t="s">
        <v>209</v>
      </c>
      <c r="J51" s="121"/>
    </row>
    <row r="52" spans="2:10" ht="15.75">
      <c r="B52" s="108">
        <v>30</v>
      </c>
      <c r="C52" s="109" t="s">
        <v>358</v>
      </c>
      <c r="D52" s="104" t="s">
        <v>818</v>
      </c>
      <c r="E52" s="15" t="s">
        <v>110</v>
      </c>
      <c r="F52" s="50" t="s">
        <v>347</v>
      </c>
      <c r="G52" s="50" t="str">
        <f t="shared" si="5"/>
        <v>DI30_Plate Feeding Machine Healthy Signal</v>
      </c>
      <c r="H52" s="15" t="s">
        <v>811</v>
      </c>
      <c r="I52" s="26" t="s">
        <v>209</v>
      </c>
      <c r="J52" s="121"/>
    </row>
    <row r="53" spans="2:10" ht="15.75">
      <c r="B53" s="108">
        <v>31</v>
      </c>
      <c r="C53" s="109" t="s">
        <v>363</v>
      </c>
      <c r="D53" s="104" t="s">
        <v>819</v>
      </c>
      <c r="E53" s="15" t="s">
        <v>110</v>
      </c>
      <c r="F53" s="50" t="s">
        <v>353</v>
      </c>
      <c r="G53" s="50" t="str">
        <f t="shared" si="5"/>
        <v>DI31_Plate Feeding Machine Running Signal</v>
      </c>
      <c r="H53" s="15" t="s">
        <v>811</v>
      </c>
      <c r="I53" s="26" t="s">
        <v>209</v>
      </c>
      <c r="J53" s="121"/>
    </row>
    <row r="54" spans="2:10" ht="16.5" thickBot="1">
      <c r="B54" s="110">
        <v>32</v>
      </c>
      <c r="C54" s="111" t="s">
        <v>368</v>
      </c>
      <c r="D54" s="104" t="s">
        <v>820</v>
      </c>
      <c r="E54" s="15" t="s">
        <v>110</v>
      </c>
      <c r="F54" s="50" t="s">
        <v>129</v>
      </c>
      <c r="G54" s="50" t="str">
        <f t="shared" si="5"/>
        <v>DI32_Spare DI</v>
      </c>
      <c r="H54" s="15"/>
      <c r="I54" s="26" t="s">
        <v>209</v>
      </c>
      <c r="J54" s="121"/>
    </row>
    <row r="55" spans="2:10" ht="15.75">
      <c r="B55" s="106">
        <v>33</v>
      </c>
      <c r="C55" s="107" t="s">
        <v>373</v>
      </c>
      <c r="D55" s="104" t="s">
        <v>821</v>
      </c>
      <c r="E55" s="15" t="s">
        <v>110</v>
      </c>
      <c r="F55" s="50" t="s">
        <v>410</v>
      </c>
      <c r="G55" s="50" t="str">
        <f t="shared" si="5"/>
        <v>DI33_Printer 01 Head 01 Healthy Signal</v>
      </c>
      <c r="H55" s="15" t="s">
        <v>811</v>
      </c>
      <c r="I55" s="26" t="s">
        <v>209</v>
      </c>
      <c r="J55" s="121"/>
    </row>
    <row r="56" spans="2:10" ht="15.75">
      <c r="B56" s="123">
        <v>34</v>
      </c>
      <c r="C56" s="124" t="s">
        <v>378</v>
      </c>
      <c r="D56" s="104" t="s">
        <v>822</v>
      </c>
      <c r="E56" s="15" t="s">
        <v>110</v>
      </c>
      <c r="F56" s="50" t="s">
        <v>416</v>
      </c>
      <c r="G56" s="50" t="str">
        <f t="shared" si="5"/>
        <v>DI34_Printer 01 Head 02 Healthy Signal</v>
      </c>
      <c r="H56" s="15" t="s">
        <v>811</v>
      </c>
      <c r="I56" s="26" t="s">
        <v>209</v>
      </c>
      <c r="J56" s="121"/>
    </row>
    <row r="57" spans="2:10" ht="15.75">
      <c r="B57" s="108">
        <v>35</v>
      </c>
      <c r="C57" s="109" t="s">
        <v>383</v>
      </c>
      <c r="D57" s="104" t="s">
        <v>823</v>
      </c>
      <c r="E57" s="15" t="s">
        <v>110</v>
      </c>
      <c r="F57" s="50" t="s">
        <v>422</v>
      </c>
      <c r="G57" s="50" t="str">
        <f t="shared" si="5"/>
        <v>DI35_Printer 01 Head 01 Running Signal</v>
      </c>
      <c r="H57" s="15" t="s">
        <v>811</v>
      </c>
      <c r="I57" s="26" t="s">
        <v>209</v>
      </c>
      <c r="J57" s="121"/>
    </row>
    <row r="58" spans="2:10" ht="15.75">
      <c r="B58" s="123">
        <v>36</v>
      </c>
      <c r="C58" s="124" t="s">
        <v>388</v>
      </c>
      <c r="D58" s="104" t="s">
        <v>824</v>
      </c>
      <c r="E58" s="15" t="s">
        <v>110</v>
      </c>
      <c r="F58" s="50" t="s">
        <v>428</v>
      </c>
      <c r="G58" s="50" t="str">
        <f t="shared" si="5"/>
        <v>DI36_Printer 01 Head 02 Running Signal</v>
      </c>
      <c r="H58" s="15" t="s">
        <v>811</v>
      </c>
      <c r="I58" s="26" t="s">
        <v>209</v>
      </c>
      <c r="J58" s="121"/>
    </row>
    <row r="59" spans="2:10" ht="15.75">
      <c r="B59" s="108">
        <v>37</v>
      </c>
      <c r="C59" s="109" t="s">
        <v>393</v>
      </c>
      <c r="D59" s="104" t="s">
        <v>825</v>
      </c>
      <c r="E59" s="15" t="s">
        <v>110</v>
      </c>
      <c r="F59" s="50" t="s">
        <v>434</v>
      </c>
      <c r="G59" s="50" t="str">
        <f t="shared" si="5"/>
        <v>DI37_Printer 02 Head 01 Healthy Signal</v>
      </c>
      <c r="H59" s="15" t="s">
        <v>811</v>
      </c>
      <c r="I59" s="26" t="s">
        <v>209</v>
      </c>
      <c r="J59" s="121"/>
    </row>
    <row r="60" spans="2:10" ht="15.75">
      <c r="B60" s="123">
        <v>38</v>
      </c>
      <c r="C60" s="124" t="s">
        <v>396</v>
      </c>
      <c r="D60" s="104" t="s">
        <v>826</v>
      </c>
      <c r="E60" s="15" t="s">
        <v>110</v>
      </c>
      <c r="F60" s="50" t="s">
        <v>440</v>
      </c>
      <c r="G60" s="50" t="str">
        <f t="shared" si="5"/>
        <v>DI38_Printer 02 Head 02 Healthy Signal</v>
      </c>
      <c r="H60" s="15" t="s">
        <v>811</v>
      </c>
      <c r="I60" s="26" t="s">
        <v>209</v>
      </c>
      <c r="J60" s="121"/>
    </row>
    <row r="61" spans="2:10" ht="15.75">
      <c r="B61" s="108">
        <v>39</v>
      </c>
      <c r="C61" s="109" t="s">
        <v>399</v>
      </c>
      <c r="D61" s="104" t="s">
        <v>827</v>
      </c>
      <c r="E61" s="15" t="s">
        <v>110</v>
      </c>
      <c r="F61" s="50" t="s">
        <v>446</v>
      </c>
      <c r="G61" s="50" t="str">
        <f t="shared" si="5"/>
        <v>DI39_Printer 02 Head 01 Running Signal</v>
      </c>
      <c r="H61" s="15" t="s">
        <v>811</v>
      </c>
      <c r="I61" s="26" t="s">
        <v>209</v>
      </c>
      <c r="J61" s="121"/>
    </row>
    <row r="62" spans="2:10" ht="16.5" thickBot="1">
      <c r="B62" s="110">
        <v>40</v>
      </c>
      <c r="C62" s="111" t="s">
        <v>404</v>
      </c>
      <c r="D62" s="104" t="s">
        <v>828</v>
      </c>
      <c r="E62" s="15" t="s">
        <v>110</v>
      </c>
      <c r="F62" s="50" t="s">
        <v>452</v>
      </c>
      <c r="G62" s="50" t="str">
        <f t="shared" si="5"/>
        <v>DI40_Printer 02 Head 02 Running Signal</v>
      </c>
      <c r="H62" s="15" t="s">
        <v>811</v>
      </c>
      <c r="I62" s="26" t="s">
        <v>209</v>
      </c>
      <c r="J62" s="121"/>
    </row>
    <row r="63" spans="2:10" ht="15.75">
      <c r="B63" s="128">
        <v>41</v>
      </c>
      <c r="C63" s="129" t="s">
        <v>409</v>
      </c>
      <c r="D63" s="104" t="s">
        <v>829</v>
      </c>
      <c r="E63" s="15" t="s">
        <v>110</v>
      </c>
      <c r="F63" s="50" t="s">
        <v>129</v>
      </c>
      <c r="G63" s="50" t="str">
        <f t="shared" si="5"/>
        <v>DI41_Spare DI</v>
      </c>
      <c r="H63" s="15"/>
      <c r="I63" s="26" t="s">
        <v>209</v>
      </c>
      <c r="J63" s="121"/>
    </row>
    <row r="64" spans="2:10" ht="15.75">
      <c r="B64" s="123">
        <v>42</v>
      </c>
      <c r="C64" s="124" t="s">
        <v>415</v>
      </c>
      <c r="D64" s="104" t="s">
        <v>830</v>
      </c>
      <c r="E64" s="15" t="s">
        <v>110</v>
      </c>
      <c r="F64" s="50" t="s">
        <v>129</v>
      </c>
      <c r="G64" s="50" t="str">
        <f t="shared" si="5"/>
        <v>DI42_Spare DI</v>
      </c>
      <c r="H64" s="15"/>
      <c r="I64" s="26" t="s">
        <v>209</v>
      </c>
      <c r="J64" s="121"/>
    </row>
    <row r="65" spans="2:19" ht="15.75">
      <c r="B65" s="108">
        <v>43</v>
      </c>
      <c r="C65" s="109" t="s">
        <v>421</v>
      </c>
      <c r="D65" s="104" t="s">
        <v>831</v>
      </c>
      <c r="E65" s="15" t="s">
        <v>110</v>
      </c>
      <c r="F65" s="50" t="s">
        <v>129</v>
      </c>
      <c r="G65" s="50" t="str">
        <f t="shared" si="5"/>
        <v>DI43_Spare DI</v>
      </c>
      <c r="H65" s="15"/>
      <c r="I65" s="26" t="s">
        <v>209</v>
      </c>
      <c r="J65" s="121"/>
    </row>
    <row r="66" spans="2:19" ht="15.75">
      <c r="B66" s="123">
        <v>44</v>
      </c>
      <c r="C66" s="124" t="s">
        <v>427</v>
      </c>
      <c r="D66" s="104" t="s">
        <v>832</v>
      </c>
      <c r="E66" s="15" t="s">
        <v>110</v>
      </c>
      <c r="F66" s="50" t="s">
        <v>129</v>
      </c>
      <c r="G66" s="50" t="str">
        <f t="shared" si="5"/>
        <v>DI44_Spare DI</v>
      </c>
      <c r="H66" s="15"/>
      <c r="I66" s="26" t="s">
        <v>209</v>
      </c>
      <c r="J66" s="121"/>
    </row>
    <row r="67" spans="2:19" ht="15.75">
      <c r="B67" s="108">
        <v>45</v>
      </c>
      <c r="C67" s="109" t="s">
        <v>433</v>
      </c>
      <c r="D67" s="104" t="s">
        <v>833</v>
      </c>
      <c r="E67" s="15" t="s">
        <v>110</v>
      </c>
      <c r="F67" s="50" t="s">
        <v>129</v>
      </c>
      <c r="G67" s="50" t="str">
        <f t="shared" si="5"/>
        <v>DI45_Spare DI</v>
      </c>
      <c r="H67" s="15"/>
      <c r="I67" s="26" t="s">
        <v>209</v>
      </c>
      <c r="J67" s="121"/>
    </row>
    <row r="68" spans="2:19" ht="15.75">
      <c r="B68" s="123">
        <v>46</v>
      </c>
      <c r="C68" s="124" t="s">
        <v>439</v>
      </c>
      <c r="D68" s="104" t="s">
        <v>834</v>
      </c>
      <c r="E68" s="15" t="s">
        <v>110</v>
      </c>
      <c r="F68" s="50" t="s">
        <v>129</v>
      </c>
      <c r="G68" s="50" t="str">
        <f t="shared" si="5"/>
        <v>DI46_Spare DI</v>
      </c>
      <c r="H68" s="15"/>
      <c r="I68" s="26" t="s">
        <v>209</v>
      </c>
      <c r="J68" s="121"/>
    </row>
    <row r="69" spans="2:19" ht="15.75">
      <c r="B69" s="108">
        <v>47</v>
      </c>
      <c r="C69" s="109" t="s">
        <v>445</v>
      </c>
      <c r="D69" s="104" t="s">
        <v>835</v>
      </c>
      <c r="E69" s="15" t="s">
        <v>110</v>
      </c>
      <c r="F69" s="50" t="s">
        <v>129</v>
      </c>
      <c r="G69" s="50" t="str">
        <f t="shared" si="5"/>
        <v>DI47_Spare DI</v>
      </c>
      <c r="H69" s="15"/>
      <c r="I69" s="26" t="s">
        <v>209</v>
      </c>
      <c r="J69" s="121"/>
    </row>
    <row r="70" spans="2:19" ht="16.5" thickBot="1">
      <c r="B70" s="123">
        <v>48</v>
      </c>
      <c r="C70" s="124" t="s">
        <v>451</v>
      </c>
      <c r="D70" s="104" t="s">
        <v>836</v>
      </c>
      <c r="E70" s="15" t="s">
        <v>110</v>
      </c>
      <c r="F70" s="50" t="s">
        <v>129</v>
      </c>
      <c r="G70" s="50" t="str">
        <f t="shared" si="5"/>
        <v>DI48_Spare DI</v>
      </c>
      <c r="H70" s="15"/>
      <c r="I70" s="26" t="s">
        <v>209</v>
      </c>
      <c r="J70" s="121"/>
      <c r="K70" s="6"/>
      <c r="L70" s="6"/>
      <c r="M70" s="6"/>
      <c r="N70" s="6"/>
      <c r="O70" s="6"/>
      <c r="P70" s="6"/>
      <c r="Q70" s="6"/>
    </row>
    <row r="71" spans="2:19" ht="15.75">
      <c r="B71" s="133" t="s">
        <v>97</v>
      </c>
      <c r="C71" s="134"/>
      <c r="D71" s="135" t="s">
        <v>98</v>
      </c>
      <c r="E71" s="135"/>
      <c r="F71" s="136" t="s">
        <v>100</v>
      </c>
      <c r="G71" s="136"/>
      <c r="H71" s="135" t="s">
        <v>18</v>
      </c>
      <c r="I71" s="137" t="s">
        <v>101</v>
      </c>
      <c r="J71" s="135" t="s">
        <v>102</v>
      </c>
      <c r="K71" s="135" t="s">
        <v>97</v>
      </c>
      <c r="L71" s="135"/>
      <c r="M71" s="135" t="s">
        <v>98</v>
      </c>
      <c r="N71" s="138" t="s">
        <v>103</v>
      </c>
      <c r="O71" s="138"/>
      <c r="P71" s="137" t="s">
        <v>18</v>
      </c>
      <c r="Q71" s="137" t="s">
        <v>101</v>
      </c>
      <c r="R71" s="156" t="s">
        <v>102</v>
      </c>
      <c r="S71" s="131"/>
    </row>
    <row r="72" spans="2:19" ht="16.5" thickBot="1">
      <c r="B72" s="61"/>
      <c r="C72" s="62"/>
      <c r="D72" s="63"/>
      <c r="E72" s="63"/>
      <c r="F72" s="60" t="s">
        <v>695</v>
      </c>
      <c r="G72" s="60"/>
      <c r="H72" s="64"/>
      <c r="I72" s="64"/>
      <c r="J72" s="64"/>
      <c r="K72" s="65"/>
      <c r="L72" s="65"/>
      <c r="M72" s="66"/>
      <c r="N72" s="66" t="s">
        <v>696</v>
      </c>
      <c r="O72" s="66"/>
      <c r="P72" s="64"/>
      <c r="Q72" s="60"/>
      <c r="R72" s="157"/>
      <c r="S72" s="131"/>
    </row>
    <row r="73" spans="2:19" ht="16.5" thickBot="1">
      <c r="B73" s="144">
        <v>1</v>
      </c>
      <c r="C73" s="145" t="s">
        <v>697</v>
      </c>
      <c r="D73" s="146" t="s">
        <v>698</v>
      </c>
      <c r="E73" s="146" t="s">
        <v>110</v>
      </c>
      <c r="F73" s="49" t="s">
        <v>837</v>
      </c>
      <c r="G73" s="49" t="str">
        <f>CONCATENATE(C73,E73,F73)</f>
        <v>AI01_Plate Height Detection Sensor-1 Feedback</v>
      </c>
      <c r="H73" s="48" t="s">
        <v>838</v>
      </c>
      <c r="I73" s="48"/>
      <c r="J73" s="48"/>
      <c r="K73" s="48"/>
      <c r="L73" s="49"/>
      <c r="M73" s="48"/>
      <c r="N73" s="49"/>
      <c r="O73" s="49"/>
      <c r="P73" s="48"/>
      <c r="Q73" s="49"/>
      <c r="R73" s="107"/>
      <c r="S73" s="131"/>
    </row>
    <row r="74" spans="2:19" ht="15.75">
      <c r="B74" s="52">
        <v>2</v>
      </c>
      <c r="C74" s="26" t="s">
        <v>700</v>
      </c>
      <c r="D74" s="15" t="s">
        <v>701</v>
      </c>
      <c r="E74" s="15" t="s">
        <v>110</v>
      </c>
      <c r="F74" s="49" t="s">
        <v>839</v>
      </c>
      <c r="G74" s="50" t="str">
        <f>CONCATENATE(C74,E74,F74)</f>
        <v>AI02_Plate Height Detection Sensor-2 Feedback</v>
      </c>
      <c r="H74" s="15"/>
      <c r="I74" s="15"/>
      <c r="J74" s="15"/>
      <c r="K74" s="15"/>
      <c r="L74" s="50"/>
      <c r="M74" s="15"/>
      <c r="N74" s="50"/>
      <c r="O74" s="50"/>
      <c r="P74" s="15"/>
      <c r="Q74" s="50"/>
      <c r="R74" s="109"/>
      <c r="S74" s="131"/>
    </row>
    <row r="75" spans="2:19" ht="15.75">
      <c r="B75" s="52">
        <v>3</v>
      </c>
      <c r="C75" s="26" t="s">
        <v>702</v>
      </c>
      <c r="D75" s="15" t="s">
        <v>703</v>
      </c>
      <c r="E75" s="15" t="s">
        <v>110</v>
      </c>
      <c r="F75" s="50" t="s">
        <v>699</v>
      </c>
      <c r="G75" s="50" t="str">
        <f>CONCATENATE(C75,E75,F75)</f>
        <v>AI03_Spare AI</v>
      </c>
      <c r="H75" s="15"/>
      <c r="I75" s="15"/>
      <c r="J75" s="15"/>
      <c r="K75" s="15"/>
      <c r="L75" s="50"/>
      <c r="M75" s="15"/>
      <c r="N75" s="50"/>
      <c r="O75" s="50"/>
      <c r="P75" s="15"/>
      <c r="Q75" s="50"/>
      <c r="R75" s="109"/>
      <c r="S75" s="131"/>
    </row>
    <row r="76" spans="2:19" ht="16.5" thickBot="1">
      <c r="B76" s="97">
        <v>4</v>
      </c>
      <c r="C76" s="98" t="s">
        <v>704</v>
      </c>
      <c r="D76" s="99" t="s">
        <v>705</v>
      </c>
      <c r="E76" s="99" t="s">
        <v>110</v>
      </c>
      <c r="F76" s="100" t="s">
        <v>699</v>
      </c>
      <c r="G76" s="100" t="str">
        <f>CONCATENATE(C76,E76,F76)</f>
        <v>AI04_Spare AI</v>
      </c>
      <c r="H76" s="99"/>
      <c r="I76" s="99"/>
      <c r="J76" s="99"/>
      <c r="K76" s="99"/>
      <c r="L76" s="100"/>
      <c r="M76" s="99"/>
      <c r="N76" s="100"/>
      <c r="O76" s="100"/>
      <c r="P76" s="99"/>
      <c r="Q76" s="100"/>
      <c r="R76" s="111"/>
      <c r="S76" s="131"/>
    </row>
    <row r="77" spans="2:19" ht="15.75">
      <c r="B77" s="133" t="s">
        <v>97</v>
      </c>
      <c r="C77" s="134"/>
      <c r="D77" s="135" t="s">
        <v>98</v>
      </c>
      <c r="E77" s="135"/>
      <c r="F77" s="136" t="s">
        <v>100</v>
      </c>
      <c r="G77" s="136"/>
      <c r="H77" s="135" t="s">
        <v>18</v>
      </c>
      <c r="I77" s="137" t="s">
        <v>101</v>
      </c>
      <c r="J77" s="135" t="s">
        <v>102</v>
      </c>
      <c r="K77" s="135" t="s">
        <v>97</v>
      </c>
      <c r="L77" s="135"/>
      <c r="M77" s="135" t="s">
        <v>98</v>
      </c>
      <c r="N77" s="138" t="s">
        <v>103</v>
      </c>
      <c r="O77" s="138"/>
      <c r="P77" s="137" t="s">
        <v>18</v>
      </c>
      <c r="Q77" s="137" t="s">
        <v>101</v>
      </c>
      <c r="R77" s="156" t="s">
        <v>102</v>
      </c>
      <c r="S77" s="131"/>
    </row>
    <row r="78" spans="2:19" ht="16.5" thickBot="1">
      <c r="B78" s="61"/>
      <c r="C78" s="62"/>
      <c r="D78" s="63"/>
      <c r="E78" s="63"/>
      <c r="F78" s="60" t="s">
        <v>840</v>
      </c>
      <c r="G78" s="60"/>
      <c r="H78" s="64"/>
      <c r="I78" s="64"/>
      <c r="J78" s="64"/>
      <c r="K78" s="65"/>
      <c r="L78" s="65"/>
      <c r="M78" s="66"/>
      <c r="N78" s="60" t="s">
        <v>841</v>
      </c>
      <c r="O78" s="66"/>
      <c r="P78" s="64"/>
      <c r="Q78" s="60"/>
      <c r="R78" s="157"/>
      <c r="S78" s="131"/>
    </row>
    <row r="79" spans="2:19" ht="15.75">
      <c r="B79" s="106">
        <v>1</v>
      </c>
      <c r="C79" s="109" t="s">
        <v>997</v>
      </c>
      <c r="D79" s="104" t="s">
        <v>206</v>
      </c>
      <c r="E79" s="15" t="s">
        <v>110</v>
      </c>
      <c r="F79" s="142" t="s">
        <v>129</v>
      </c>
      <c r="G79" s="50" t="str">
        <f>CONCATENATE(C79,E79,D79,E79,F79)</f>
        <v>RM01_DI01_Spare DI</v>
      </c>
      <c r="H79" s="15"/>
      <c r="I79" s="26" t="s">
        <v>209</v>
      </c>
      <c r="J79" s="15"/>
      <c r="K79" s="159">
        <v>1</v>
      </c>
      <c r="L79" s="107" t="s">
        <v>329</v>
      </c>
      <c r="M79" s="104" t="s">
        <v>330</v>
      </c>
      <c r="N79" s="30" t="s">
        <v>331</v>
      </c>
      <c r="O79" s="50" t="str">
        <f t="shared" ref="O79:O92" si="6" xml:space="preserve"> CONCATENATE(L79,E39,N79)</f>
        <v>VB01.DO1_Plate Handling ROBOT-01 Gripper Open SOV</v>
      </c>
      <c r="P79" s="15" t="s">
        <v>332</v>
      </c>
      <c r="Q79" s="15" t="s">
        <v>209</v>
      </c>
      <c r="R79" s="15" t="s">
        <v>333</v>
      </c>
      <c r="S79" s="131" t="s">
        <v>334</v>
      </c>
    </row>
    <row r="80" spans="2:19" ht="15.75">
      <c r="B80" s="108">
        <v>2</v>
      </c>
      <c r="C80" s="109" t="s">
        <v>997</v>
      </c>
      <c r="D80" s="104" t="s">
        <v>216</v>
      </c>
      <c r="E80" s="15" t="s">
        <v>110</v>
      </c>
      <c r="F80" s="139" t="s">
        <v>463</v>
      </c>
      <c r="G80" s="50" t="str">
        <f t="shared" ref="G80:G143" si="7">CONCATENATE(C80,E80,D80,E80,F80)</f>
        <v>RM01_DI02_Plate Infeed Conveyor Exit Sensor</v>
      </c>
      <c r="H80" s="15" t="s">
        <v>457</v>
      </c>
      <c r="I80" s="26" t="s">
        <v>209</v>
      </c>
      <c r="J80" s="15" t="s">
        <v>458</v>
      </c>
      <c r="K80" s="104">
        <v>2</v>
      </c>
      <c r="L80" s="109" t="s">
        <v>337</v>
      </c>
      <c r="M80" s="104" t="s">
        <v>338</v>
      </c>
      <c r="N80" s="30" t="s">
        <v>339</v>
      </c>
      <c r="O80" s="50" t="str">
        <f t="shared" si="6"/>
        <v>VB01.DO2_Plate Handling ROBOT-01 Gripper Close SOV</v>
      </c>
      <c r="P80" s="15" t="s">
        <v>332</v>
      </c>
      <c r="Q80" s="15" t="s">
        <v>209</v>
      </c>
      <c r="R80" s="15" t="s">
        <v>340</v>
      </c>
      <c r="S80" s="131" t="s">
        <v>334</v>
      </c>
    </row>
    <row r="81" spans="1:19" ht="15.75">
      <c r="A81" s="6" t="s">
        <v>842</v>
      </c>
      <c r="B81" s="108">
        <v>3</v>
      </c>
      <c r="C81" s="109" t="s">
        <v>997</v>
      </c>
      <c r="D81" s="104" t="s">
        <v>223</v>
      </c>
      <c r="E81" s="15" t="s">
        <v>110</v>
      </c>
      <c r="F81" s="141" t="s">
        <v>469</v>
      </c>
      <c r="G81" s="184" t="str">
        <f t="shared" si="7"/>
        <v>RM01_DI03_Plate Diverter Position 01 FB</v>
      </c>
      <c r="H81" s="15" t="s">
        <v>470</v>
      </c>
      <c r="I81" s="26" t="s">
        <v>209</v>
      </c>
      <c r="J81" s="15" t="s">
        <v>471</v>
      </c>
      <c r="K81" s="104">
        <v>3</v>
      </c>
      <c r="L81" s="109" t="s">
        <v>342</v>
      </c>
      <c r="M81" s="104" t="s">
        <v>343</v>
      </c>
      <c r="N81" s="50" t="s">
        <v>344</v>
      </c>
      <c r="O81" s="50" t="str">
        <f t="shared" si="6"/>
        <v>VB01.DO3_Tray Side Guide-01 FWD SOV</v>
      </c>
      <c r="P81" s="15" t="s">
        <v>332</v>
      </c>
      <c r="Q81" s="15" t="s">
        <v>209</v>
      </c>
      <c r="R81" s="15" t="s">
        <v>345</v>
      </c>
      <c r="S81" s="131" t="s">
        <v>334</v>
      </c>
    </row>
    <row r="82" spans="1:19" ht="15.75">
      <c r="A82" s="6" t="s">
        <v>842</v>
      </c>
      <c r="B82" s="108">
        <v>4</v>
      </c>
      <c r="C82" s="109" t="s">
        <v>997</v>
      </c>
      <c r="D82" s="104" t="s">
        <v>230</v>
      </c>
      <c r="E82" s="15" t="s">
        <v>110</v>
      </c>
      <c r="F82" s="141" t="s">
        <v>474</v>
      </c>
      <c r="G82" s="184" t="str">
        <f t="shared" si="7"/>
        <v>RM01_DI04_Plate Diverter Position 02 FB</v>
      </c>
      <c r="H82" s="15" t="s">
        <v>470</v>
      </c>
      <c r="I82" s="26" t="s">
        <v>209</v>
      </c>
      <c r="J82" s="15" t="s">
        <v>475</v>
      </c>
      <c r="K82" s="104">
        <v>4</v>
      </c>
      <c r="L82" s="109" t="s">
        <v>348</v>
      </c>
      <c r="M82" s="104" t="s">
        <v>349</v>
      </c>
      <c r="N82" s="50" t="s">
        <v>350</v>
      </c>
      <c r="O82" s="50" t="str">
        <f t="shared" si="6"/>
        <v>VB01.DO4_Tray Side Guide-01 REV SOV</v>
      </c>
      <c r="P82" s="15" t="s">
        <v>332</v>
      </c>
      <c r="Q82" s="15" t="s">
        <v>209</v>
      </c>
      <c r="R82" s="15" t="s">
        <v>351</v>
      </c>
      <c r="S82" s="131" t="s">
        <v>334</v>
      </c>
    </row>
    <row r="83" spans="1:19" ht="15.75">
      <c r="B83" s="108">
        <v>5</v>
      </c>
      <c r="C83" s="109" t="s">
        <v>997</v>
      </c>
      <c r="D83" s="104" t="s">
        <v>237</v>
      </c>
      <c r="E83" s="15" t="s">
        <v>110</v>
      </c>
      <c r="F83" s="139" t="s">
        <v>843</v>
      </c>
      <c r="G83" s="50" t="str">
        <f t="shared" si="7"/>
        <v>RM01_DI05_Bowl Feeder 01 High Level Sensor</v>
      </c>
      <c r="H83" s="15" t="s">
        <v>457</v>
      </c>
      <c r="I83" s="26" t="s">
        <v>209</v>
      </c>
      <c r="J83" s="15" t="s">
        <v>464</v>
      </c>
      <c r="K83" s="104">
        <v>5</v>
      </c>
      <c r="L83" s="109" t="s">
        <v>354</v>
      </c>
      <c r="M83" s="104" t="s">
        <v>355</v>
      </c>
      <c r="N83" s="50" t="s">
        <v>356</v>
      </c>
      <c r="O83" s="50" t="str">
        <f t="shared" si="6"/>
        <v>VB01.DO5_Tray Front Guide-01 FWD SOV</v>
      </c>
      <c r="P83" s="15" t="s">
        <v>332</v>
      </c>
      <c r="Q83" s="15" t="s">
        <v>209</v>
      </c>
      <c r="R83" s="15" t="s">
        <v>357</v>
      </c>
      <c r="S83" s="131" t="s">
        <v>334</v>
      </c>
    </row>
    <row r="84" spans="1:19" ht="15.75">
      <c r="B84" s="108">
        <v>6</v>
      </c>
      <c r="C84" s="109" t="s">
        <v>997</v>
      </c>
      <c r="D84" s="104" t="s">
        <v>243</v>
      </c>
      <c r="E84" s="15" t="s">
        <v>110</v>
      </c>
      <c r="F84" s="139" t="s">
        <v>844</v>
      </c>
      <c r="G84" s="50" t="str">
        <f t="shared" si="7"/>
        <v>RM01_DI06_Bowl Feeder 02 High Level Sensor</v>
      </c>
      <c r="H84" s="15" t="s">
        <v>457</v>
      </c>
      <c r="I84" s="26" t="s">
        <v>209</v>
      </c>
      <c r="J84" s="15" t="s">
        <v>478</v>
      </c>
      <c r="K84" s="104">
        <v>6</v>
      </c>
      <c r="L84" s="109" t="s">
        <v>359</v>
      </c>
      <c r="M84" s="104" t="s">
        <v>360</v>
      </c>
      <c r="N84" s="50" t="s">
        <v>361</v>
      </c>
      <c r="O84" s="50" t="str">
        <f t="shared" si="6"/>
        <v>VB01.DO6_Tray Front Guide-01 REV SOV</v>
      </c>
      <c r="P84" s="15" t="s">
        <v>332</v>
      </c>
      <c r="Q84" s="15" t="s">
        <v>209</v>
      </c>
      <c r="R84" s="15" t="s">
        <v>362</v>
      </c>
      <c r="S84" s="131" t="s">
        <v>334</v>
      </c>
    </row>
    <row r="85" spans="1:19" ht="15.75">
      <c r="B85" s="108">
        <v>7</v>
      </c>
      <c r="C85" s="109" t="s">
        <v>997</v>
      </c>
      <c r="D85" s="104" t="s">
        <v>247</v>
      </c>
      <c r="E85" s="15" t="s">
        <v>110</v>
      </c>
      <c r="F85" s="139" t="s">
        <v>845</v>
      </c>
      <c r="G85" s="50" t="str">
        <f t="shared" si="7"/>
        <v>RM01_DI07_Bowl Feeder 01 Linear Feeder Exit Sensor</v>
      </c>
      <c r="H85" s="15" t="s">
        <v>457</v>
      </c>
      <c r="I85" s="26" t="s">
        <v>209</v>
      </c>
      <c r="J85" s="15" t="s">
        <v>484</v>
      </c>
      <c r="K85" s="104">
        <v>7</v>
      </c>
      <c r="L85" s="109" t="s">
        <v>364</v>
      </c>
      <c r="M85" s="104" t="s">
        <v>365</v>
      </c>
      <c r="N85" s="50" t="s">
        <v>366</v>
      </c>
      <c r="O85" s="50" t="str">
        <f t="shared" si="6"/>
        <v>VB01.DO7_Tray Stopper-01/1 FWD SOV</v>
      </c>
      <c r="P85" s="15" t="s">
        <v>332</v>
      </c>
      <c r="Q85" s="15" t="s">
        <v>209</v>
      </c>
      <c r="R85" s="15" t="s">
        <v>367</v>
      </c>
      <c r="S85" s="131" t="s">
        <v>334</v>
      </c>
    </row>
    <row r="86" spans="1:19" ht="15.75">
      <c r="B86" s="108">
        <v>8</v>
      </c>
      <c r="C86" s="109" t="s">
        <v>997</v>
      </c>
      <c r="D86" s="104" t="s">
        <v>251</v>
      </c>
      <c r="E86" s="15" t="s">
        <v>110</v>
      </c>
      <c r="F86" s="139" t="s">
        <v>846</v>
      </c>
      <c r="G86" s="50" t="str">
        <f t="shared" si="7"/>
        <v>RM01_DI08_Bowl Feeder 02 Linear Feeder Exit Sensor</v>
      </c>
      <c r="H86" s="15" t="s">
        <v>457</v>
      </c>
      <c r="I86" s="26" t="s">
        <v>209</v>
      </c>
      <c r="J86" s="15" t="s">
        <v>496</v>
      </c>
      <c r="K86" s="104">
        <v>8</v>
      </c>
      <c r="L86" s="109" t="s">
        <v>369</v>
      </c>
      <c r="M86" s="104" t="s">
        <v>370</v>
      </c>
      <c r="N86" s="50" t="s">
        <v>371</v>
      </c>
      <c r="O86" s="50" t="str">
        <f t="shared" si="6"/>
        <v>VB01.DO8_Tray Stopper-01/1 Rev SOV</v>
      </c>
      <c r="P86" s="15" t="s">
        <v>332</v>
      </c>
      <c r="Q86" s="15" t="s">
        <v>209</v>
      </c>
      <c r="R86" s="15" t="s">
        <v>372</v>
      </c>
      <c r="S86" s="131" t="s">
        <v>334</v>
      </c>
    </row>
    <row r="87" spans="1:19" ht="15.75">
      <c r="B87" s="108">
        <v>9</v>
      </c>
      <c r="C87" s="109" t="s">
        <v>997</v>
      </c>
      <c r="D87" s="104" t="s">
        <v>258</v>
      </c>
      <c r="E87" s="15" t="s">
        <v>110</v>
      </c>
      <c r="F87" s="166" t="s">
        <v>982</v>
      </c>
      <c r="G87" s="184" t="str">
        <f t="shared" si="7"/>
        <v>RM01_DI09_Bowl Feeder 01 Linear Feeder Exit Stopper FWD FB</v>
      </c>
      <c r="H87" s="15"/>
      <c r="I87" s="26" t="s">
        <v>209</v>
      </c>
      <c r="J87" s="15"/>
      <c r="K87" s="104">
        <v>9</v>
      </c>
      <c r="L87" s="109" t="s">
        <v>374</v>
      </c>
      <c r="M87" s="104" t="s">
        <v>375</v>
      </c>
      <c r="N87" s="50" t="s">
        <v>376</v>
      </c>
      <c r="O87" s="50" t="str">
        <f t="shared" si="6"/>
        <v>VB01.DO9_Tray Stopper-01/2 FWD SOV</v>
      </c>
      <c r="P87" s="15" t="s">
        <v>332</v>
      </c>
      <c r="Q87" s="15" t="s">
        <v>209</v>
      </c>
      <c r="R87" s="15" t="s">
        <v>377</v>
      </c>
      <c r="S87" s="131" t="s">
        <v>334</v>
      </c>
    </row>
    <row r="88" spans="1:19" ht="15.75">
      <c r="B88" s="108">
        <v>10</v>
      </c>
      <c r="C88" s="109" t="s">
        <v>997</v>
      </c>
      <c r="D88" s="104" t="s">
        <v>264</v>
      </c>
      <c r="E88" s="15" t="s">
        <v>110</v>
      </c>
      <c r="F88" s="166" t="s">
        <v>984</v>
      </c>
      <c r="G88" s="184" t="str">
        <f t="shared" si="7"/>
        <v>RM01_DI10_Bowl Feeder 01 Linear Feeder Exit Stopper REV FB</v>
      </c>
      <c r="H88" s="15"/>
      <c r="I88" s="26" t="s">
        <v>209</v>
      </c>
      <c r="J88" s="15"/>
      <c r="K88" s="104">
        <v>10</v>
      </c>
      <c r="L88" s="109" t="s">
        <v>379</v>
      </c>
      <c r="M88" s="104" t="s">
        <v>380</v>
      </c>
      <c r="N88" s="50" t="s">
        <v>381</v>
      </c>
      <c r="O88" s="50" t="str">
        <f t="shared" si="6"/>
        <v>VB01.DO10_Tray Stopper-01/2 Rev SOV</v>
      </c>
      <c r="P88" s="15" t="s">
        <v>332</v>
      </c>
      <c r="Q88" s="15" t="s">
        <v>209</v>
      </c>
      <c r="R88" s="15" t="s">
        <v>382</v>
      </c>
      <c r="S88" s="131" t="s">
        <v>334</v>
      </c>
    </row>
    <row r="89" spans="1:19" ht="15.75">
      <c r="B89" s="108">
        <v>11</v>
      </c>
      <c r="C89" s="109" t="s">
        <v>997</v>
      </c>
      <c r="D89" s="104" t="s">
        <v>270</v>
      </c>
      <c r="E89" s="15" t="s">
        <v>110</v>
      </c>
      <c r="F89" s="166" t="s">
        <v>983</v>
      </c>
      <c r="G89" s="184" t="str">
        <f t="shared" si="7"/>
        <v>RM01_DI11_Bowl Feeder 02 Linear Feeder Exit Stopper FWD FB</v>
      </c>
      <c r="H89" s="15"/>
      <c r="I89" s="26" t="s">
        <v>209</v>
      </c>
      <c r="J89" s="15"/>
      <c r="K89" s="104">
        <v>11</v>
      </c>
      <c r="L89" s="109" t="s">
        <v>384</v>
      </c>
      <c r="M89" s="104" t="s">
        <v>385</v>
      </c>
      <c r="N89" s="50" t="s">
        <v>386</v>
      </c>
      <c r="O89" s="50" t="str">
        <f t="shared" si="6"/>
        <v>VB01.DO11_Tray Pusher-01 Up SOV</v>
      </c>
      <c r="P89" s="15" t="s">
        <v>332</v>
      </c>
      <c r="Q89" s="15" t="s">
        <v>209</v>
      </c>
      <c r="R89" s="15" t="s">
        <v>387</v>
      </c>
      <c r="S89" s="131" t="s">
        <v>334</v>
      </c>
    </row>
    <row r="90" spans="1:19" ht="16.5" thickBot="1">
      <c r="B90" s="110">
        <v>12</v>
      </c>
      <c r="C90" s="109" t="s">
        <v>997</v>
      </c>
      <c r="D90" s="104" t="s">
        <v>275</v>
      </c>
      <c r="E90" s="15" t="s">
        <v>110</v>
      </c>
      <c r="F90" s="166" t="s">
        <v>985</v>
      </c>
      <c r="G90" s="184" t="str">
        <f t="shared" si="7"/>
        <v>RM01_DI12_Bowl Feeder 02 Linear Feeder Exit Stopper REV FB</v>
      </c>
      <c r="H90" s="15"/>
      <c r="I90" s="26" t="s">
        <v>209</v>
      </c>
      <c r="J90" s="15"/>
      <c r="K90" s="104">
        <v>12</v>
      </c>
      <c r="L90" s="109" t="s">
        <v>389</v>
      </c>
      <c r="M90" s="104" t="s">
        <v>390</v>
      </c>
      <c r="N90" s="50" t="s">
        <v>391</v>
      </c>
      <c r="O90" s="50" t="str">
        <f t="shared" si="6"/>
        <v>VB01.DO12_Tray Stopper-01 Dn SOV</v>
      </c>
      <c r="P90" s="15" t="s">
        <v>332</v>
      </c>
      <c r="Q90" s="15" t="s">
        <v>209</v>
      </c>
      <c r="R90" s="15" t="s">
        <v>392</v>
      </c>
      <c r="S90" s="131" t="s">
        <v>334</v>
      </c>
    </row>
    <row r="91" spans="1:19" ht="16.5" thickBot="1">
      <c r="B91" s="106">
        <v>13</v>
      </c>
      <c r="C91" s="107" t="s">
        <v>1665</v>
      </c>
      <c r="D91" s="104" t="s">
        <v>206</v>
      </c>
      <c r="E91" s="15" t="s">
        <v>110</v>
      </c>
      <c r="F91" s="50" t="s">
        <v>495</v>
      </c>
      <c r="G91" s="50" t="str">
        <f t="shared" si="7"/>
        <v>RM02_DI01_Plate Guide 01 Plate Present Sensor 1</v>
      </c>
      <c r="H91" s="15" t="s">
        <v>457</v>
      </c>
      <c r="I91" s="26" t="s">
        <v>209</v>
      </c>
      <c r="J91" s="15" t="s">
        <v>502</v>
      </c>
      <c r="K91" s="104">
        <v>13</v>
      </c>
      <c r="L91" s="109" t="s">
        <v>394</v>
      </c>
      <c r="M91" s="104" t="s">
        <v>395</v>
      </c>
      <c r="N91" s="51" t="s">
        <v>135</v>
      </c>
      <c r="O91" s="50" t="str">
        <f t="shared" si="6"/>
        <v>VB01.DO13_Spare DO</v>
      </c>
      <c r="P91" s="15" t="s">
        <v>332</v>
      </c>
      <c r="Q91" s="15" t="s">
        <v>209</v>
      </c>
      <c r="R91" s="15"/>
      <c r="S91" s="131" t="s">
        <v>334</v>
      </c>
    </row>
    <row r="92" spans="1:19" ht="16.5" thickBot="1">
      <c r="B92" s="108">
        <v>14</v>
      </c>
      <c r="C92" s="107" t="s">
        <v>1665</v>
      </c>
      <c r="D92" s="104" t="s">
        <v>216</v>
      </c>
      <c r="E92" s="15" t="s">
        <v>110</v>
      </c>
      <c r="F92" s="50" t="s">
        <v>501</v>
      </c>
      <c r="G92" s="50" t="str">
        <f t="shared" si="7"/>
        <v>RM02_DI02_Plate Guide 01 Plate Present Sensor 2</v>
      </c>
      <c r="H92" s="15" t="s">
        <v>457</v>
      </c>
      <c r="I92" s="26" t="s">
        <v>209</v>
      </c>
      <c r="J92" s="15" t="s">
        <v>519</v>
      </c>
      <c r="K92" s="104">
        <v>14</v>
      </c>
      <c r="L92" s="109" t="s">
        <v>397</v>
      </c>
      <c r="M92" s="104" t="s">
        <v>398</v>
      </c>
      <c r="N92" s="51" t="s">
        <v>135</v>
      </c>
      <c r="O92" s="50" t="str">
        <f t="shared" si="6"/>
        <v>VB01.DO14_Spare DO</v>
      </c>
      <c r="P92" s="15" t="s">
        <v>332</v>
      </c>
      <c r="Q92" s="15" t="s">
        <v>209</v>
      </c>
      <c r="R92" s="15"/>
      <c r="S92" s="131" t="s">
        <v>334</v>
      </c>
    </row>
    <row r="93" spans="1:19" ht="16.5" thickBot="1">
      <c r="B93" s="108">
        <v>15</v>
      </c>
      <c r="C93" s="107" t="s">
        <v>1665</v>
      </c>
      <c r="D93" s="104" t="s">
        <v>223</v>
      </c>
      <c r="E93" s="15" t="s">
        <v>110</v>
      </c>
      <c r="F93" s="50" t="s">
        <v>507</v>
      </c>
      <c r="G93" s="50" t="str">
        <f t="shared" si="7"/>
        <v>RM02_DI03_Plate Guide 02 Plate Present Sensor 1</v>
      </c>
      <c r="H93" s="15" t="s">
        <v>457</v>
      </c>
      <c r="I93" s="26" t="s">
        <v>209</v>
      </c>
      <c r="J93" s="15" t="s">
        <v>524</v>
      </c>
      <c r="K93" s="104">
        <v>15</v>
      </c>
      <c r="L93" s="109" t="s">
        <v>400</v>
      </c>
      <c r="M93" s="104" t="s">
        <v>401</v>
      </c>
      <c r="N93" s="30" t="s">
        <v>402</v>
      </c>
      <c r="O93" s="50" t="str">
        <f t="shared" ref="O93:O98" si="8" xml:space="preserve"> CONCATENATE(L93,E79,N93)</f>
        <v>VB01.DO15_Plate Handling ROBOT-02 Gripper Open SOV</v>
      </c>
      <c r="P93" s="15" t="s">
        <v>332</v>
      </c>
      <c r="Q93" s="15" t="s">
        <v>209</v>
      </c>
      <c r="R93" s="15" t="s">
        <v>403</v>
      </c>
      <c r="S93" s="131" t="s">
        <v>334</v>
      </c>
    </row>
    <row r="94" spans="1:19" ht="16.5" thickBot="1">
      <c r="B94" s="108">
        <v>16</v>
      </c>
      <c r="C94" s="107" t="s">
        <v>1665</v>
      </c>
      <c r="D94" s="104" t="s">
        <v>230</v>
      </c>
      <c r="E94" s="15" t="s">
        <v>110</v>
      </c>
      <c r="F94" s="50" t="s">
        <v>513</v>
      </c>
      <c r="G94" s="50" t="str">
        <f t="shared" si="7"/>
        <v>RM02_DI04_Plate Guide 02 Plate Present Sensor 2</v>
      </c>
      <c r="H94" s="15" t="s">
        <v>457</v>
      </c>
      <c r="I94" s="26" t="s">
        <v>209</v>
      </c>
      <c r="J94" s="15" t="s">
        <v>578</v>
      </c>
      <c r="K94" s="104">
        <v>16</v>
      </c>
      <c r="L94" s="109" t="s">
        <v>405</v>
      </c>
      <c r="M94" s="104" t="s">
        <v>406</v>
      </c>
      <c r="N94" s="30" t="s">
        <v>407</v>
      </c>
      <c r="O94" s="50" t="str">
        <f t="shared" si="8"/>
        <v>VB01.DO16_Plate Handling ROBOT-02 Gripper Close SOV</v>
      </c>
      <c r="P94" s="15" t="s">
        <v>332</v>
      </c>
      <c r="Q94" s="15" t="s">
        <v>209</v>
      </c>
      <c r="R94" s="15" t="s">
        <v>408</v>
      </c>
      <c r="S94" s="131" t="s">
        <v>334</v>
      </c>
    </row>
    <row r="95" spans="1:19" ht="16.5" thickBot="1">
      <c r="B95" s="108">
        <v>17</v>
      </c>
      <c r="C95" s="107" t="s">
        <v>1665</v>
      </c>
      <c r="D95" s="104" t="s">
        <v>237</v>
      </c>
      <c r="E95" s="15" t="s">
        <v>110</v>
      </c>
      <c r="F95" s="30" t="s">
        <v>535</v>
      </c>
      <c r="G95" s="184" t="str">
        <f t="shared" si="7"/>
        <v>RM02_DI05_Plate Handling ROBOT 01 Gripper Open FB</v>
      </c>
      <c r="H95" s="15" t="s">
        <v>470</v>
      </c>
      <c r="I95" s="26" t="s">
        <v>209</v>
      </c>
      <c r="J95" s="15" t="s">
        <v>508</v>
      </c>
      <c r="K95" s="104">
        <v>17</v>
      </c>
      <c r="L95" s="109" t="s">
        <v>411</v>
      </c>
      <c r="M95" s="104" t="s">
        <v>412</v>
      </c>
      <c r="N95" s="50" t="s">
        <v>413</v>
      </c>
      <c r="O95" s="50" t="str">
        <f t="shared" si="8"/>
        <v>VB01.DO17_Tray Side Guide-02 FWD SOV</v>
      </c>
      <c r="P95" s="15" t="s">
        <v>332</v>
      </c>
      <c r="Q95" s="15" t="s">
        <v>209</v>
      </c>
      <c r="R95" s="15" t="s">
        <v>414</v>
      </c>
      <c r="S95" s="131" t="s">
        <v>334</v>
      </c>
    </row>
    <row r="96" spans="1:19" ht="16.5" thickBot="1">
      <c r="B96" s="108">
        <v>18</v>
      </c>
      <c r="C96" s="107" t="s">
        <v>1665</v>
      </c>
      <c r="D96" s="104" t="s">
        <v>243</v>
      </c>
      <c r="E96" s="15" t="s">
        <v>110</v>
      </c>
      <c r="F96" s="30" t="s">
        <v>539</v>
      </c>
      <c r="G96" s="184" t="str">
        <f t="shared" si="7"/>
        <v>RM02_DI06_Plate Handling ROBOT 01 Gripper Close FB</v>
      </c>
      <c r="H96" s="15" t="s">
        <v>470</v>
      </c>
      <c r="I96" s="26" t="s">
        <v>209</v>
      </c>
      <c r="J96" s="15" t="s">
        <v>514</v>
      </c>
      <c r="K96" s="104">
        <v>18</v>
      </c>
      <c r="L96" s="109" t="s">
        <v>417</v>
      </c>
      <c r="M96" s="104" t="s">
        <v>418</v>
      </c>
      <c r="N96" s="50" t="s">
        <v>419</v>
      </c>
      <c r="O96" s="50" t="str">
        <f t="shared" si="8"/>
        <v>VB01.DO18_Tray Side Guide-02 REV SOV</v>
      </c>
      <c r="P96" s="15" t="s">
        <v>332</v>
      </c>
      <c r="Q96" s="15" t="s">
        <v>209</v>
      </c>
      <c r="R96" s="15" t="s">
        <v>420</v>
      </c>
      <c r="S96" s="131" t="s">
        <v>334</v>
      </c>
    </row>
    <row r="97" spans="2:19" ht="16.5" thickBot="1">
      <c r="B97" s="108">
        <v>19</v>
      </c>
      <c r="C97" s="107" t="s">
        <v>1665</v>
      </c>
      <c r="D97" s="104" t="s">
        <v>247</v>
      </c>
      <c r="E97" s="15" t="s">
        <v>110</v>
      </c>
      <c r="F97" s="141" t="s">
        <v>555</v>
      </c>
      <c r="G97" s="50" t="str">
        <f t="shared" si="7"/>
        <v>RM02_DI07_Plate Handling ROBOT 01 Plate Sensor</v>
      </c>
      <c r="H97" s="15" t="s">
        <v>457</v>
      </c>
      <c r="I97" s="26" t="s">
        <v>209</v>
      </c>
      <c r="J97" s="15" t="s">
        <v>580</v>
      </c>
      <c r="K97" s="104">
        <v>19</v>
      </c>
      <c r="L97" s="109" t="s">
        <v>423</v>
      </c>
      <c r="M97" s="104" t="s">
        <v>424</v>
      </c>
      <c r="N97" s="50" t="s">
        <v>425</v>
      </c>
      <c r="O97" s="50" t="str">
        <f t="shared" si="8"/>
        <v>VB01.DO19_Tray Front Guide-02 FWD SOV</v>
      </c>
      <c r="P97" s="15" t="s">
        <v>332</v>
      </c>
      <c r="Q97" s="15" t="s">
        <v>209</v>
      </c>
      <c r="R97" s="15" t="s">
        <v>426</v>
      </c>
      <c r="S97" s="131" t="s">
        <v>334</v>
      </c>
    </row>
    <row r="98" spans="2:19" ht="16.5" thickBot="1">
      <c r="B98" s="108">
        <v>20</v>
      </c>
      <c r="C98" s="107" t="s">
        <v>1665</v>
      </c>
      <c r="D98" s="104" t="s">
        <v>251</v>
      </c>
      <c r="E98" s="15" t="s">
        <v>110</v>
      </c>
      <c r="F98" s="143" t="s">
        <v>129</v>
      </c>
      <c r="G98" s="50" t="str">
        <f t="shared" si="7"/>
        <v>RM02_DI08_Spare DI</v>
      </c>
      <c r="H98" s="15"/>
      <c r="I98" s="26" t="s">
        <v>209</v>
      </c>
      <c r="J98" s="15"/>
      <c r="K98" s="104">
        <v>20</v>
      </c>
      <c r="L98" s="109" t="s">
        <v>429</v>
      </c>
      <c r="M98" s="104" t="s">
        <v>430</v>
      </c>
      <c r="N98" s="50" t="s">
        <v>431</v>
      </c>
      <c r="O98" s="50" t="str">
        <f t="shared" si="8"/>
        <v>VB01.DO20_Tray Front Guide-02 REV SOV</v>
      </c>
      <c r="P98" s="15" t="s">
        <v>332</v>
      </c>
      <c r="Q98" s="15" t="s">
        <v>209</v>
      </c>
      <c r="R98" s="15" t="s">
        <v>432</v>
      </c>
      <c r="S98" s="131" t="s">
        <v>334</v>
      </c>
    </row>
    <row r="99" spans="2:19" ht="16.5" thickBot="1">
      <c r="B99" s="108">
        <v>21</v>
      </c>
      <c r="C99" s="107" t="s">
        <v>1665</v>
      </c>
      <c r="D99" s="104" t="s">
        <v>258</v>
      </c>
      <c r="E99" s="15" t="s">
        <v>110</v>
      </c>
      <c r="F99" s="30" t="s">
        <v>584</v>
      </c>
      <c r="G99" s="184" t="str">
        <f t="shared" si="7"/>
        <v>RM02_DI09_Plate Handling ROBOT 02 Gripper Open FB</v>
      </c>
      <c r="H99" s="15" t="s">
        <v>470</v>
      </c>
      <c r="I99" s="26" t="s">
        <v>209</v>
      </c>
      <c r="J99" s="15" t="s">
        <v>536</v>
      </c>
      <c r="K99" s="104">
        <v>21</v>
      </c>
      <c r="L99" s="109" t="s">
        <v>435</v>
      </c>
      <c r="M99" s="104" t="s">
        <v>436</v>
      </c>
      <c r="N99" s="50" t="s">
        <v>437</v>
      </c>
      <c r="O99" s="50" t="str">
        <f xml:space="preserve"> CONCATENATE(L99,E95,N99)</f>
        <v>VB01.DO21_Tray Stopper-02/1 FWD SOV</v>
      </c>
      <c r="P99" s="15" t="s">
        <v>332</v>
      </c>
      <c r="Q99" s="15" t="s">
        <v>209</v>
      </c>
      <c r="R99" s="15" t="s">
        <v>438</v>
      </c>
      <c r="S99" s="131" t="s">
        <v>334</v>
      </c>
    </row>
    <row r="100" spans="2:19" ht="16.5" thickBot="1">
      <c r="B100" s="108">
        <v>22</v>
      </c>
      <c r="C100" s="107" t="s">
        <v>1665</v>
      </c>
      <c r="D100" s="104" t="s">
        <v>264</v>
      </c>
      <c r="E100" s="15" t="s">
        <v>110</v>
      </c>
      <c r="F100" s="30" t="s">
        <v>586</v>
      </c>
      <c r="G100" s="184" t="str">
        <f t="shared" si="7"/>
        <v>RM02_DI10_Plate Handling ROBOT 02 Gripper Close FB</v>
      </c>
      <c r="H100" s="15" t="s">
        <v>470</v>
      </c>
      <c r="I100" s="26" t="s">
        <v>209</v>
      </c>
      <c r="J100" s="15" t="s">
        <v>540</v>
      </c>
      <c r="K100" s="104">
        <v>22</v>
      </c>
      <c r="L100" s="109" t="s">
        <v>441</v>
      </c>
      <c r="M100" s="104" t="s">
        <v>442</v>
      </c>
      <c r="N100" s="50" t="s">
        <v>443</v>
      </c>
      <c r="O100" s="50" t="str">
        <f xml:space="preserve"> CONCATENATE(L100,E96,N100)</f>
        <v>VB01.DO22_Tray Stopper-02/1 Rev SOV</v>
      </c>
      <c r="P100" s="15" t="s">
        <v>332</v>
      </c>
      <c r="Q100" s="15" t="s">
        <v>209</v>
      </c>
      <c r="R100" s="15" t="s">
        <v>444</v>
      </c>
      <c r="S100" s="131" t="s">
        <v>334</v>
      </c>
    </row>
    <row r="101" spans="2:19" ht="16.5" thickBot="1">
      <c r="B101" s="108">
        <v>23</v>
      </c>
      <c r="C101" s="107" t="s">
        <v>1665</v>
      </c>
      <c r="D101" s="104" t="s">
        <v>270</v>
      </c>
      <c r="E101" s="15" t="s">
        <v>110</v>
      </c>
      <c r="F101" s="141" t="s">
        <v>590</v>
      </c>
      <c r="G101" s="50" t="str">
        <f t="shared" si="7"/>
        <v>RM02_DI11_Plate Handling ROBOT 02 Plate Sensor</v>
      </c>
      <c r="H101" s="15" t="s">
        <v>457</v>
      </c>
      <c r="I101" s="26" t="s">
        <v>209</v>
      </c>
      <c r="J101" s="15" t="s">
        <v>603</v>
      </c>
      <c r="K101" s="104">
        <v>23</v>
      </c>
      <c r="L101" s="109" t="s">
        <v>447</v>
      </c>
      <c r="M101" s="104" t="s">
        <v>448</v>
      </c>
      <c r="N101" s="50" t="s">
        <v>449</v>
      </c>
      <c r="O101" s="50" t="str">
        <f xml:space="preserve"> CONCATENATE(L101,E97,N101)</f>
        <v>VB01.DO23_Tray Stopper-02/2 FWD SOV</v>
      </c>
      <c r="P101" s="15" t="s">
        <v>332</v>
      </c>
      <c r="Q101" s="15" t="s">
        <v>209</v>
      </c>
      <c r="R101" s="15" t="s">
        <v>450</v>
      </c>
      <c r="S101" s="131" t="s">
        <v>334</v>
      </c>
    </row>
    <row r="102" spans="2:19" ht="16.5" thickBot="1">
      <c r="B102" s="110">
        <v>24</v>
      </c>
      <c r="C102" s="107" t="s">
        <v>1665</v>
      </c>
      <c r="D102" s="104" t="s">
        <v>275</v>
      </c>
      <c r="E102" s="15" t="s">
        <v>110</v>
      </c>
      <c r="F102" s="143" t="s">
        <v>129</v>
      </c>
      <c r="G102" s="50" t="str">
        <f t="shared" si="7"/>
        <v>RM02_DI12_Spare DI</v>
      </c>
      <c r="H102" s="15"/>
      <c r="I102" s="26" t="s">
        <v>209</v>
      </c>
      <c r="J102" s="15"/>
      <c r="K102" s="104">
        <v>24</v>
      </c>
      <c r="L102" s="109" t="s">
        <v>453</v>
      </c>
      <c r="M102" s="104" t="s">
        <v>454</v>
      </c>
      <c r="N102" s="50" t="s">
        <v>455</v>
      </c>
      <c r="O102" s="50" t="str">
        <f xml:space="preserve"> CONCATENATE(L102,E98,N102)</f>
        <v>VB01.DO24_Tray Stopper-02/2 Rev SOV</v>
      </c>
      <c r="P102" s="15" t="s">
        <v>332</v>
      </c>
      <c r="Q102" s="15" t="s">
        <v>209</v>
      </c>
      <c r="R102" s="15" t="s">
        <v>456</v>
      </c>
      <c r="S102" s="131" t="s">
        <v>334</v>
      </c>
    </row>
    <row r="103" spans="2:19" ht="16.5" thickBot="1">
      <c r="B103" s="106">
        <v>25</v>
      </c>
      <c r="C103" s="107" t="s">
        <v>1669</v>
      </c>
      <c r="D103" s="104" t="s">
        <v>206</v>
      </c>
      <c r="E103" s="15" t="s">
        <v>110</v>
      </c>
      <c r="F103" s="50" t="s">
        <v>561</v>
      </c>
      <c r="G103" s="184" t="str">
        <f t="shared" si="7"/>
        <v>RM03_DI01_Tray 01 Side Guide FWD FB</v>
      </c>
      <c r="H103" s="15" t="s">
        <v>470</v>
      </c>
      <c r="I103" s="26" t="s">
        <v>209</v>
      </c>
      <c r="J103" s="15" t="s">
        <v>545</v>
      </c>
      <c r="K103" s="104">
        <v>25</v>
      </c>
      <c r="L103" s="109" t="s">
        <v>459</v>
      </c>
      <c r="M103" s="104" t="s">
        <v>460</v>
      </c>
      <c r="N103" s="50" t="s">
        <v>461</v>
      </c>
      <c r="O103" s="50" t="str">
        <f xml:space="preserve"> CONCATENATE(L103,E99,N103)</f>
        <v>VB01.DO25_Tray Pusher-02 Up SOV</v>
      </c>
      <c r="P103" s="15" t="s">
        <v>332</v>
      </c>
      <c r="Q103" s="15" t="s">
        <v>209</v>
      </c>
      <c r="R103" s="15" t="s">
        <v>462</v>
      </c>
      <c r="S103" s="131" t="s">
        <v>334</v>
      </c>
    </row>
    <row r="104" spans="2:19" ht="16.5" thickBot="1">
      <c r="B104" s="108">
        <v>26</v>
      </c>
      <c r="C104" s="107" t="s">
        <v>1669</v>
      </c>
      <c r="D104" s="104" t="s">
        <v>216</v>
      </c>
      <c r="E104" s="15" t="s">
        <v>110</v>
      </c>
      <c r="F104" s="50" t="s">
        <v>565</v>
      </c>
      <c r="G104" s="184" t="str">
        <f t="shared" si="7"/>
        <v>RM03_DI02_Tray 01 Side Guide REV FB</v>
      </c>
      <c r="H104" s="15" t="s">
        <v>470</v>
      </c>
      <c r="I104" s="26" t="s">
        <v>209</v>
      </c>
      <c r="J104" s="15" t="s">
        <v>550</v>
      </c>
      <c r="K104" s="104">
        <v>26</v>
      </c>
      <c r="L104" s="109" t="s">
        <v>465</v>
      </c>
      <c r="M104" s="104" t="s">
        <v>466</v>
      </c>
      <c r="N104" s="50" t="s">
        <v>467</v>
      </c>
      <c r="O104" s="50" t="str">
        <f xml:space="preserve"> CONCATENATE(L104,E104,N104)</f>
        <v>VB01.DO26_Tray Stopper-02 Dn SOV</v>
      </c>
      <c r="P104" s="15" t="s">
        <v>332</v>
      </c>
      <c r="Q104" s="15" t="s">
        <v>209</v>
      </c>
      <c r="R104" s="15" t="s">
        <v>468</v>
      </c>
      <c r="S104" s="131" t="s">
        <v>334</v>
      </c>
    </row>
    <row r="105" spans="2:19" ht="16.5" thickBot="1">
      <c r="B105" s="108">
        <v>27</v>
      </c>
      <c r="C105" s="107" t="s">
        <v>1669</v>
      </c>
      <c r="D105" s="104" t="s">
        <v>223</v>
      </c>
      <c r="E105" s="15" t="s">
        <v>110</v>
      </c>
      <c r="F105" s="50" t="s">
        <v>569</v>
      </c>
      <c r="G105" s="184" t="str">
        <f t="shared" si="7"/>
        <v>RM03_DI03_Tray 01 Front Guide FWD FB</v>
      </c>
      <c r="H105" s="15" t="s">
        <v>470</v>
      </c>
      <c r="I105" s="26" t="s">
        <v>209</v>
      </c>
      <c r="J105" s="15" t="s">
        <v>556</v>
      </c>
      <c r="K105" s="104">
        <v>27</v>
      </c>
      <c r="L105" s="109" t="s">
        <v>472</v>
      </c>
      <c r="M105" s="104" t="s">
        <v>473</v>
      </c>
      <c r="N105" s="51" t="s">
        <v>135</v>
      </c>
      <c r="O105" s="50" t="str">
        <f xml:space="preserve"> CONCATENATE(L105,E105,N105)</f>
        <v>VB01.DO27_Spare DO</v>
      </c>
      <c r="P105" s="15" t="s">
        <v>332</v>
      </c>
      <c r="Q105" s="15" t="s">
        <v>209</v>
      </c>
      <c r="R105" s="15"/>
      <c r="S105" s="131" t="s">
        <v>334</v>
      </c>
    </row>
    <row r="106" spans="2:19" ht="16.5" thickBot="1">
      <c r="B106" s="108">
        <v>28</v>
      </c>
      <c r="C106" s="107" t="s">
        <v>1669</v>
      </c>
      <c r="D106" s="104" t="s">
        <v>230</v>
      </c>
      <c r="E106" s="15" t="s">
        <v>110</v>
      </c>
      <c r="F106" s="50" t="s">
        <v>573</v>
      </c>
      <c r="G106" s="184" t="str">
        <f t="shared" si="7"/>
        <v>RM03_DI04_Tray 01 Front Guide REV FB</v>
      </c>
      <c r="H106" s="15" t="s">
        <v>470</v>
      </c>
      <c r="I106" s="26" t="s">
        <v>209</v>
      </c>
      <c r="J106" s="15" t="s">
        <v>562</v>
      </c>
      <c r="K106" s="104">
        <v>28</v>
      </c>
      <c r="L106" s="109" t="s">
        <v>476</v>
      </c>
      <c r="M106" s="104" t="s">
        <v>477</v>
      </c>
      <c r="N106" s="51" t="s">
        <v>135</v>
      </c>
      <c r="O106" s="50" t="str">
        <f xml:space="preserve"> CONCATENATE(L106,E106,N106)</f>
        <v>VB01.DO28_Spare DO</v>
      </c>
      <c r="P106" s="15" t="s">
        <v>332</v>
      </c>
      <c r="Q106" s="15" t="s">
        <v>209</v>
      </c>
      <c r="R106" s="15"/>
      <c r="S106" s="131" t="s">
        <v>334</v>
      </c>
    </row>
    <row r="107" spans="2:19" ht="16.5" thickBot="1">
      <c r="B107" s="108">
        <v>29</v>
      </c>
      <c r="C107" s="107" t="s">
        <v>1669</v>
      </c>
      <c r="D107" s="104" t="s">
        <v>237</v>
      </c>
      <c r="E107" s="15" t="s">
        <v>110</v>
      </c>
      <c r="F107" s="50" t="s">
        <v>575</v>
      </c>
      <c r="G107" s="184" t="str">
        <f t="shared" si="7"/>
        <v>RM03_DI05_Tray 01 Stopper 01 UP FB</v>
      </c>
      <c r="H107" s="15" t="s">
        <v>470</v>
      </c>
      <c r="I107" s="26" t="s">
        <v>209</v>
      </c>
      <c r="J107" s="15" t="s">
        <v>566</v>
      </c>
      <c r="K107" s="104">
        <v>29</v>
      </c>
      <c r="L107" s="109" t="s">
        <v>479</v>
      </c>
      <c r="M107" s="104" t="s">
        <v>480</v>
      </c>
      <c r="N107" s="30" t="s">
        <v>481</v>
      </c>
      <c r="O107" s="50" t="str">
        <f xml:space="preserve"> CONCATENATE(L107,E107,N107)</f>
        <v>VB01.DO29_Tray Transfer Robot Vacuum  SOV</v>
      </c>
      <c r="P107" s="15" t="s">
        <v>332</v>
      </c>
      <c r="Q107" s="15" t="s">
        <v>209</v>
      </c>
      <c r="R107" s="15" t="s">
        <v>482</v>
      </c>
      <c r="S107" s="131" t="s">
        <v>483</v>
      </c>
    </row>
    <row r="108" spans="2:19" ht="16.5" thickBot="1">
      <c r="B108" s="108">
        <v>30</v>
      </c>
      <c r="C108" s="107" t="s">
        <v>1669</v>
      </c>
      <c r="D108" s="104" t="s">
        <v>243</v>
      </c>
      <c r="E108" s="15" t="s">
        <v>110</v>
      </c>
      <c r="F108" s="50" t="s">
        <v>577</v>
      </c>
      <c r="G108" s="184" t="str">
        <f t="shared" si="7"/>
        <v>RM03_DI06_Tray 01 Stopper 02 UP FB</v>
      </c>
      <c r="H108" s="15" t="s">
        <v>470</v>
      </c>
      <c r="I108" s="26" t="s">
        <v>209</v>
      </c>
      <c r="J108" s="15" t="s">
        <v>570</v>
      </c>
      <c r="K108" s="160">
        <v>30</v>
      </c>
      <c r="L108" s="111" t="s">
        <v>485</v>
      </c>
      <c r="M108" s="104" t="s">
        <v>486</v>
      </c>
      <c r="N108" s="51" t="s">
        <v>135</v>
      </c>
      <c r="O108" s="50" t="str">
        <f xml:space="preserve"> CONCATENATE(L108,E108,N108)</f>
        <v>VB01.DO30_Spare DO</v>
      </c>
      <c r="P108" s="15" t="s">
        <v>332</v>
      </c>
      <c r="Q108" s="15" t="s">
        <v>209</v>
      </c>
      <c r="R108" s="158"/>
      <c r="S108" s="131" t="s">
        <v>483</v>
      </c>
    </row>
    <row r="109" spans="2:19" ht="16.5" thickBot="1">
      <c r="B109" s="108">
        <v>31</v>
      </c>
      <c r="C109" s="107" t="s">
        <v>1669</v>
      </c>
      <c r="D109" s="104" t="s">
        <v>247</v>
      </c>
      <c r="E109" s="15" t="s">
        <v>110</v>
      </c>
      <c r="F109" s="50" t="s">
        <v>579</v>
      </c>
      <c r="G109" s="184" t="str">
        <f t="shared" si="7"/>
        <v>RM03_DI07_Tray 01 Pusher UP FB</v>
      </c>
      <c r="H109" s="15" t="s">
        <v>470</v>
      </c>
      <c r="I109" s="26" t="s">
        <v>209</v>
      </c>
      <c r="J109" s="15" t="s">
        <v>574</v>
      </c>
      <c r="K109" s="6"/>
      <c r="L109" s="6"/>
      <c r="M109" s="6"/>
      <c r="N109" s="6"/>
      <c r="O109" s="6"/>
      <c r="P109" s="6"/>
      <c r="Q109" s="6"/>
      <c r="R109" s="6"/>
    </row>
    <row r="110" spans="2:19" ht="16.5" thickBot="1">
      <c r="B110" s="108">
        <v>32</v>
      </c>
      <c r="C110" s="107" t="s">
        <v>1669</v>
      </c>
      <c r="D110" s="104" t="s">
        <v>251</v>
      </c>
      <c r="E110" s="15" t="s">
        <v>110</v>
      </c>
      <c r="F110" s="50" t="s">
        <v>581</v>
      </c>
      <c r="G110" s="184" t="str">
        <f t="shared" si="7"/>
        <v>RM03_DI08_Tray 01 Pusher DOWN FB</v>
      </c>
      <c r="H110" s="15" t="s">
        <v>470</v>
      </c>
      <c r="I110" s="26" t="s">
        <v>209</v>
      </c>
      <c r="J110" s="15" t="s">
        <v>576</v>
      </c>
      <c r="K110" s="6"/>
      <c r="L110" s="6"/>
      <c r="M110" s="6"/>
      <c r="N110" s="6"/>
      <c r="O110" s="6"/>
      <c r="P110" s="6"/>
      <c r="Q110" s="6"/>
      <c r="R110" s="6"/>
    </row>
    <row r="111" spans="2:19" ht="16.5" thickBot="1">
      <c r="B111" s="108">
        <v>33</v>
      </c>
      <c r="C111" s="107" t="s">
        <v>1669</v>
      </c>
      <c r="D111" s="104" t="s">
        <v>258</v>
      </c>
      <c r="E111" s="15" t="s">
        <v>110</v>
      </c>
      <c r="F111" s="50" t="s">
        <v>582</v>
      </c>
      <c r="G111" s="50" t="str">
        <f t="shared" si="7"/>
        <v>RM03_DI09_Tray 01 Present Sensor 01</v>
      </c>
      <c r="H111" s="15" t="s">
        <v>457</v>
      </c>
      <c r="I111" s="26" t="s">
        <v>209</v>
      </c>
      <c r="J111" s="15" t="s">
        <v>605</v>
      </c>
      <c r="K111" s="6"/>
      <c r="L111" s="6"/>
      <c r="M111" s="6"/>
      <c r="N111" s="6"/>
      <c r="O111" s="6"/>
      <c r="P111" s="6"/>
      <c r="Q111" s="6"/>
      <c r="R111" s="6"/>
    </row>
    <row r="112" spans="2:19" ht="16.5" thickBot="1">
      <c r="B112" s="108">
        <v>34</v>
      </c>
      <c r="C112" s="107" t="s">
        <v>1669</v>
      </c>
      <c r="D112" s="104" t="s">
        <v>264</v>
      </c>
      <c r="E112" s="15" t="s">
        <v>110</v>
      </c>
      <c r="F112" s="50" t="s">
        <v>583</v>
      </c>
      <c r="G112" s="50" t="str">
        <f t="shared" si="7"/>
        <v>RM03_DI10_Tray 01 Present Sensor 02</v>
      </c>
      <c r="H112" s="15" t="s">
        <v>457</v>
      </c>
      <c r="I112" s="26" t="s">
        <v>209</v>
      </c>
      <c r="J112" s="15" t="s">
        <v>610</v>
      </c>
      <c r="K112" s="6"/>
      <c r="L112" s="6"/>
      <c r="M112" s="6"/>
      <c r="N112" s="6"/>
      <c r="O112" s="6"/>
      <c r="P112" s="6"/>
      <c r="Q112" s="6"/>
      <c r="R112" s="6"/>
    </row>
    <row r="113" spans="2:18" ht="16.5" thickBot="1">
      <c r="B113" s="108">
        <v>35</v>
      </c>
      <c r="C113" s="107" t="s">
        <v>1669</v>
      </c>
      <c r="D113" s="104" t="s">
        <v>270</v>
      </c>
      <c r="E113" s="15" t="s">
        <v>110</v>
      </c>
      <c r="F113" s="50" t="s">
        <v>129</v>
      </c>
      <c r="G113" s="50" t="str">
        <f t="shared" si="7"/>
        <v>RM03_DI11_Spare DI</v>
      </c>
      <c r="H113" s="15"/>
      <c r="I113" s="26" t="s">
        <v>209</v>
      </c>
      <c r="J113" s="26"/>
      <c r="K113" s="6"/>
      <c r="L113" s="6"/>
      <c r="M113" s="6"/>
      <c r="N113" s="6"/>
      <c r="O113" s="6"/>
      <c r="P113" s="6"/>
      <c r="Q113" s="6"/>
      <c r="R113" s="6"/>
    </row>
    <row r="114" spans="2:18" ht="16.5" thickBot="1">
      <c r="B114" s="110">
        <v>36</v>
      </c>
      <c r="C114" s="107" t="s">
        <v>1669</v>
      </c>
      <c r="D114" s="104" t="s">
        <v>275</v>
      </c>
      <c r="E114" s="15" t="s">
        <v>110</v>
      </c>
      <c r="F114" s="50" t="s">
        <v>129</v>
      </c>
      <c r="G114" s="50" t="str">
        <f t="shared" si="7"/>
        <v>RM03_DI12_Spare DI</v>
      </c>
      <c r="H114" s="15"/>
      <c r="I114" s="26" t="s">
        <v>209</v>
      </c>
      <c r="J114" s="26"/>
      <c r="K114" s="6"/>
      <c r="L114" s="6"/>
      <c r="M114" s="6"/>
      <c r="N114" s="6"/>
      <c r="O114" s="6"/>
      <c r="P114" s="6"/>
      <c r="Q114" s="6"/>
      <c r="R114" s="6"/>
    </row>
    <row r="115" spans="2:18" ht="16.5" thickBot="1">
      <c r="B115" s="106">
        <v>37</v>
      </c>
      <c r="C115" s="107" t="s">
        <v>1670</v>
      </c>
      <c r="D115" s="104" t="s">
        <v>206</v>
      </c>
      <c r="E115" s="15" t="s">
        <v>110</v>
      </c>
      <c r="F115" s="50" t="s">
        <v>592</v>
      </c>
      <c r="G115" s="184" t="str">
        <f t="shared" si="7"/>
        <v>RM04_DI01_Tray 02 Side Guide FWD FB</v>
      </c>
      <c r="H115" s="15" t="s">
        <v>470</v>
      </c>
      <c r="I115" s="26" t="s">
        <v>209</v>
      </c>
      <c r="J115" s="26" t="s">
        <v>585</v>
      </c>
      <c r="K115" s="6"/>
      <c r="L115" s="6"/>
      <c r="M115" s="6"/>
      <c r="N115" s="6"/>
      <c r="O115" s="6"/>
      <c r="P115" s="6"/>
      <c r="Q115" s="6"/>
      <c r="R115" s="6"/>
    </row>
    <row r="116" spans="2:18" ht="16.5" thickBot="1">
      <c r="B116" s="108">
        <v>38</v>
      </c>
      <c r="C116" s="107" t="s">
        <v>1670</v>
      </c>
      <c r="D116" s="104" t="s">
        <v>216</v>
      </c>
      <c r="E116" s="15" t="s">
        <v>110</v>
      </c>
      <c r="F116" s="50" t="s">
        <v>594</v>
      </c>
      <c r="G116" s="184" t="str">
        <f t="shared" si="7"/>
        <v>RM04_DI02_Tray 02 Side Guide REV FB</v>
      </c>
      <c r="H116" s="15" t="s">
        <v>470</v>
      </c>
      <c r="I116" s="26" t="s">
        <v>209</v>
      </c>
      <c r="J116" s="26" t="s">
        <v>587</v>
      </c>
      <c r="K116" s="6"/>
      <c r="L116" s="6"/>
      <c r="M116" s="6"/>
      <c r="N116" s="6"/>
      <c r="O116" s="6"/>
      <c r="P116" s="6"/>
      <c r="Q116" s="6"/>
      <c r="R116" s="6"/>
    </row>
    <row r="117" spans="2:18" ht="16.5" thickBot="1">
      <c r="B117" s="108">
        <v>39</v>
      </c>
      <c r="C117" s="107" t="s">
        <v>1670</v>
      </c>
      <c r="D117" s="104" t="s">
        <v>223</v>
      </c>
      <c r="E117" s="15" t="s">
        <v>110</v>
      </c>
      <c r="F117" s="50" t="s">
        <v>596</v>
      </c>
      <c r="G117" s="184" t="str">
        <f t="shared" si="7"/>
        <v>RM04_DI03_Tray 02 Front Guide FWD FB</v>
      </c>
      <c r="H117" s="15" t="s">
        <v>470</v>
      </c>
      <c r="I117" s="26" t="s">
        <v>209</v>
      </c>
      <c r="J117" s="26" t="s">
        <v>588</v>
      </c>
      <c r="K117" s="6"/>
      <c r="L117" s="6"/>
      <c r="M117" s="6"/>
      <c r="N117" s="6"/>
      <c r="O117" s="6"/>
      <c r="P117" s="6"/>
      <c r="Q117" s="6"/>
      <c r="R117" s="6"/>
    </row>
    <row r="118" spans="2:18" ht="16.5" thickBot="1">
      <c r="B118" s="108">
        <v>40</v>
      </c>
      <c r="C118" s="107" t="s">
        <v>1670</v>
      </c>
      <c r="D118" s="104" t="s">
        <v>230</v>
      </c>
      <c r="E118" s="15" t="s">
        <v>110</v>
      </c>
      <c r="F118" s="50" t="s">
        <v>598</v>
      </c>
      <c r="G118" s="184" t="str">
        <f t="shared" si="7"/>
        <v>RM04_DI04_Tray 02 Front Guide REV FB</v>
      </c>
      <c r="H118" s="15" t="s">
        <v>470</v>
      </c>
      <c r="I118" s="26" t="s">
        <v>209</v>
      </c>
      <c r="J118" s="26" t="s">
        <v>589</v>
      </c>
      <c r="K118" s="6"/>
      <c r="L118" s="6"/>
      <c r="M118" s="6"/>
      <c r="N118" s="6"/>
      <c r="O118" s="6"/>
      <c r="P118" s="6"/>
      <c r="Q118" s="6"/>
      <c r="R118" s="6"/>
    </row>
    <row r="119" spans="2:18" ht="16.5" thickBot="1">
      <c r="B119" s="108">
        <v>41</v>
      </c>
      <c r="C119" s="107" t="s">
        <v>1670</v>
      </c>
      <c r="D119" s="104" t="s">
        <v>237</v>
      </c>
      <c r="E119" s="15" t="s">
        <v>110</v>
      </c>
      <c r="F119" s="50" t="s">
        <v>600</v>
      </c>
      <c r="G119" s="184" t="str">
        <f t="shared" si="7"/>
        <v>RM04_DI05_Tray 02 Stopper 01 UP FB</v>
      </c>
      <c r="H119" s="15" t="s">
        <v>470</v>
      </c>
      <c r="I119" s="26" t="s">
        <v>209</v>
      </c>
      <c r="J119" s="26" t="s">
        <v>591</v>
      </c>
      <c r="K119" s="6"/>
      <c r="L119" s="6"/>
      <c r="M119" s="6"/>
      <c r="N119" s="6"/>
      <c r="O119" s="6"/>
      <c r="P119" s="6"/>
      <c r="Q119" s="6"/>
      <c r="R119" s="6"/>
    </row>
    <row r="120" spans="2:18" ht="16.5" thickBot="1">
      <c r="B120" s="108">
        <v>42</v>
      </c>
      <c r="C120" s="107" t="s">
        <v>1670</v>
      </c>
      <c r="D120" s="104" t="s">
        <v>243</v>
      </c>
      <c r="E120" s="15" t="s">
        <v>110</v>
      </c>
      <c r="F120" s="50" t="s">
        <v>602</v>
      </c>
      <c r="G120" s="184" t="str">
        <f>CONCATENATE(C120,E120,D120,E120,F120)</f>
        <v>RM04_DI06_Tray 02 Stopper 02 UP FB</v>
      </c>
      <c r="H120" s="15" t="s">
        <v>470</v>
      </c>
      <c r="I120" s="26" t="s">
        <v>209</v>
      </c>
      <c r="J120" s="26" t="s">
        <v>593</v>
      </c>
      <c r="K120" s="6"/>
      <c r="L120" s="6"/>
      <c r="M120" s="6"/>
      <c r="N120" s="6"/>
      <c r="O120" s="6"/>
      <c r="P120" s="6"/>
      <c r="Q120" s="6"/>
      <c r="R120" s="6"/>
    </row>
    <row r="121" spans="2:18" ht="16.5" thickBot="1">
      <c r="B121" s="108">
        <v>43</v>
      </c>
      <c r="C121" s="107" t="s">
        <v>1670</v>
      </c>
      <c r="D121" s="104" t="s">
        <v>247</v>
      </c>
      <c r="E121" s="15" t="s">
        <v>110</v>
      </c>
      <c r="F121" s="50" t="s">
        <v>604</v>
      </c>
      <c r="G121" s="184" t="str">
        <f t="shared" si="7"/>
        <v>RM04_DI07_Tray 02 Pusher UP FB</v>
      </c>
      <c r="H121" s="15" t="s">
        <v>470</v>
      </c>
      <c r="I121" s="26" t="s">
        <v>209</v>
      </c>
      <c r="J121" s="26" t="s">
        <v>595</v>
      </c>
      <c r="K121" s="6"/>
      <c r="L121" s="6"/>
      <c r="M121" s="6"/>
      <c r="N121" s="6"/>
      <c r="O121" s="6"/>
      <c r="P121" s="6"/>
      <c r="Q121" s="6"/>
      <c r="R121" s="6"/>
    </row>
    <row r="122" spans="2:18" ht="16.5" thickBot="1">
      <c r="B122" s="108">
        <v>44</v>
      </c>
      <c r="C122" s="107" t="s">
        <v>1670</v>
      </c>
      <c r="D122" s="104" t="s">
        <v>251</v>
      </c>
      <c r="E122" s="15" t="s">
        <v>110</v>
      </c>
      <c r="F122" s="50" t="s">
        <v>606</v>
      </c>
      <c r="G122" s="184" t="str">
        <f t="shared" si="7"/>
        <v>RM04_DI08_Tray 02 Pusher DOWN FB</v>
      </c>
      <c r="H122" s="15" t="s">
        <v>470</v>
      </c>
      <c r="I122" s="26" t="s">
        <v>209</v>
      </c>
      <c r="J122" s="26" t="s">
        <v>597</v>
      </c>
      <c r="K122" s="6"/>
      <c r="L122" s="6"/>
      <c r="M122" s="6"/>
      <c r="N122" s="6"/>
      <c r="O122" s="6"/>
      <c r="P122" s="6"/>
      <c r="Q122" s="6"/>
      <c r="R122" s="6"/>
    </row>
    <row r="123" spans="2:18" ht="16.5" thickBot="1">
      <c r="B123" s="108">
        <v>45</v>
      </c>
      <c r="C123" s="107" t="s">
        <v>1670</v>
      </c>
      <c r="D123" s="104" t="s">
        <v>258</v>
      </c>
      <c r="E123" s="15" t="s">
        <v>110</v>
      </c>
      <c r="F123" s="50" t="s">
        <v>607</v>
      </c>
      <c r="G123" s="50" t="str">
        <f t="shared" si="7"/>
        <v>RM04_DI09_Tray 02 Present Sensor 01</v>
      </c>
      <c r="H123" s="15" t="s">
        <v>457</v>
      </c>
      <c r="I123" s="26" t="s">
        <v>209</v>
      </c>
      <c r="J123" s="26" t="s">
        <v>612</v>
      </c>
      <c r="K123" s="6"/>
      <c r="L123" s="6"/>
      <c r="M123" s="6"/>
      <c r="N123" s="6"/>
      <c r="O123" s="6"/>
      <c r="P123" s="6"/>
      <c r="Q123" s="6"/>
      <c r="R123" s="6"/>
    </row>
    <row r="124" spans="2:18" ht="16.5" thickBot="1">
      <c r="B124" s="108">
        <v>46</v>
      </c>
      <c r="C124" s="107" t="s">
        <v>1670</v>
      </c>
      <c r="D124" s="104" t="s">
        <v>264</v>
      </c>
      <c r="E124" s="15" t="s">
        <v>110</v>
      </c>
      <c r="F124" s="50" t="s">
        <v>608</v>
      </c>
      <c r="G124" s="50" t="str">
        <f t="shared" si="7"/>
        <v>RM04_DI10_Tray 02 Present Sensor 02</v>
      </c>
      <c r="H124" s="15" t="s">
        <v>457</v>
      </c>
      <c r="I124" s="26" t="s">
        <v>209</v>
      </c>
      <c r="J124" s="26" t="s">
        <v>614</v>
      </c>
      <c r="K124" s="6"/>
      <c r="L124" s="6"/>
      <c r="M124" s="6"/>
      <c r="N124" s="6"/>
      <c r="O124" s="6"/>
      <c r="P124" s="6"/>
      <c r="Q124" s="6"/>
      <c r="R124" s="6"/>
    </row>
    <row r="125" spans="2:18" ht="16.5" thickBot="1">
      <c r="B125" s="108">
        <v>47</v>
      </c>
      <c r="C125" s="107" t="s">
        <v>1670</v>
      </c>
      <c r="D125" s="104" t="s">
        <v>270</v>
      </c>
      <c r="E125" s="15" t="s">
        <v>110</v>
      </c>
      <c r="F125" s="50" t="s">
        <v>129</v>
      </c>
      <c r="G125" s="50" t="str">
        <f t="shared" si="7"/>
        <v>RM04_DI11_Spare DI</v>
      </c>
      <c r="H125" s="15"/>
      <c r="I125" s="26" t="s">
        <v>209</v>
      </c>
      <c r="J125" s="15"/>
      <c r="K125" s="6"/>
      <c r="L125" s="6"/>
      <c r="M125" s="6"/>
      <c r="N125" s="6"/>
      <c r="O125" s="6"/>
      <c r="P125" s="6"/>
      <c r="Q125" s="6"/>
      <c r="R125" s="6"/>
    </row>
    <row r="126" spans="2:18" ht="16.5" thickBot="1">
      <c r="B126" s="110">
        <v>48</v>
      </c>
      <c r="C126" s="107" t="s">
        <v>1670</v>
      </c>
      <c r="D126" s="104" t="s">
        <v>275</v>
      </c>
      <c r="E126" s="15" t="s">
        <v>110</v>
      </c>
      <c r="F126" s="50" t="s">
        <v>129</v>
      </c>
      <c r="G126" s="50" t="str">
        <f t="shared" si="7"/>
        <v>RM04_DI12_Spare DI</v>
      </c>
      <c r="H126" s="15"/>
      <c r="I126" s="26" t="s">
        <v>209</v>
      </c>
      <c r="J126" s="15"/>
      <c r="K126" s="6"/>
      <c r="L126" s="6"/>
      <c r="M126" s="6"/>
      <c r="N126" s="6"/>
      <c r="O126" s="6"/>
      <c r="P126" s="6"/>
      <c r="Q126" s="6"/>
      <c r="R126" s="6"/>
    </row>
    <row r="127" spans="2:18" ht="16.5" thickBot="1">
      <c r="B127" s="106">
        <v>49</v>
      </c>
      <c r="C127" s="107" t="s">
        <v>1671</v>
      </c>
      <c r="D127" s="104" t="s">
        <v>206</v>
      </c>
      <c r="E127" s="15" t="s">
        <v>110</v>
      </c>
      <c r="F127" s="96" t="s">
        <v>609</v>
      </c>
      <c r="G127" s="50" t="str">
        <f t="shared" si="7"/>
        <v>RM05_DI01_Tray Feeding Conveyor Tray 01 Present Sensor 1</v>
      </c>
      <c r="H127" s="15" t="s">
        <v>457</v>
      </c>
      <c r="I127" s="26" t="s">
        <v>209</v>
      </c>
      <c r="J127" s="15" t="s">
        <v>616</v>
      </c>
      <c r="K127" s="6"/>
      <c r="L127" s="6"/>
      <c r="M127" s="6"/>
      <c r="N127" s="6"/>
      <c r="O127" s="6"/>
      <c r="P127" s="6"/>
      <c r="Q127" s="6"/>
      <c r="R127" s="6"/>
    </row>
    <row r="128" spans="2:18" ht="16.5" thickBot="1">
      <c r="B128" s="108">
        <v>50</v>
      </c>
      <c r="C128" s="107" t="s">
        <v>1671</v>
      </c>
      <c r="D128" s="104" t="s">
        <v>216</v>
      </c>
      <c r="E128" s="15" t="s">
        <v>110</v>
      </c>
      <c r="F128" s="96" t="s">
        <v>611</v>
      </c>
      <c r="G128" s="50" t="str">
        <f t="shared" si="7"/>
        <v>RM05_DI02_Tray Feeding Conveyor Tray 01 Present Sensor 2</v>
      </c>
      <c r="H128" s="15" t="s">
        <v>457</v>
      </c>
      <c r="I128" s="26" t="s">
        <v>209</v>
      </c>
      <c r="J128" s="15" t="s">
        <v>618</v>
      </c>
      <c r="K128" s="6"/>
      <c r="L128" s="6"/>
      <c r="M128" s="6"/>
      <c r="N128" s="6"/>
      <c r="O128" s="6"/>
      <c r="P128" s="6"/>
      <c r="Q128" s="6"/>
      <c r="R128" s="6"/>
    </row>
    <row r="129" spans="2:18" ht="16.5" thickBot="1">
      <c r="B129" s="108">
        <v>47</v>
      </c>
      <c r="C129" s="107" t="s">
        <v>1671</v>
      </c>
      <c r="D129" s="104" t="s">
        <v>223</v>
      </c>
      <c r="E129" s="15" t="s">
        <v>110</v>
      </c>
      <c r="F129" s="96" t="s">
        <v>613</v>
      </c>
      <c r="G129" s="50" t="str">
        <f t="shared" si="7"/>
        <v>RM05_DI03_Tray Feeding Conveyor Tray 02 Present Sensor 1</v>
      </c>
      <c r="H129" s="15" t="s">
        <v>457</v>
      </c>
      <c r="I129" s="26" t="s">
        <v>209</v>
      </c>
      <c r="J129" s="15" t="s">
        <v>620</v>
      </c>
      <c r="K129" s="6"/>
      <c r="L129" s="6"/>
      <c r="M129" s="6"/>
      <c r="N129" s="6"/>
      <c r="O129" s="6"/>
      <c r="P129" s="6"/>
      <c r="Q129" s="6"/>
      <c r="R129" s="6"/>
    </row>
    <row r="130" spans="2:18" ht="16.5" thickBot="1">
      <c r="B130" s="108">
        <v>48</v>
      </c>
      <c r="C130" s="107" t="s">
        <v>1671</v>
      </c>
      <c r="D130" s="104" t="s">
        <v>230</v>
      </c>
      <c r="E130" s="15" t="s">
        <v>110</v>
      </c>
      <c r="F130" s="96" t="s">
        <v>615</v>
      </c>
      <c r="G130" s="50" t="str">
        <f t="shared" si="7"/>
        <v>RM05_DI04_Tray Feeding Conveyor Tray 02 Present Sensor 2</v>
      </c>
      <c r="H130" s="15" t="s">
        <v>457</v>
      </c>
      <c r="I130" s="26" t="s">
        <v>209</v>
      </c>
      <c r="J130" s="15" t="s">
        <v>622</v>
      </c>
      <c r="K130" s="6"/>
      <c r="L130" s="6"/>
      <c r="M130" s="6"/>
      <c r="N130" s="6"/>
      <c r="O130" s="6"/>
      <c r="P130" s="6"/>
      <c r="Q130" s="6"/>
      <c r="R130" s="6"/>
    </row>
    <row r="131" spans="2:18" ht="16.5" thickBot="1">
      <c r="B131" s="108">
        <v>49</v>
      </c>
      <c r="C131" s="107" t="s">
        <v>1671</v>
      </c>
      <c r="D131" s="104" t="s">
        <v>237</v>
      </c>
      <c r="E131" s="15" t="s">
        <v>110</v>
      </c>
      <c r="F131" s="96" t="s">
        <v>617</v>
      </c>
      <c r="G131" s="50" t="str">
        <f t="shared" si="7"/>
        <v>RM05_DI05_Tray Feeding Conveyor Buffer Tray Present Sensor 1</v>
      </c>
      <c r="H131" s="15" t="s">
        <v>457</v>
      </c>
      <c r="I131" s="26" t="s">
        <v>209</v>
      </c>
      <c r="J131" s="15" t="s">
        <v>624</v>
      </c>
      <c r="K131" s="6"/>
      <c r="L131" s="6"/>
      <c r="M131" s="6"/>
      <c r="N131" s="6"/>
      <c r="O131" s="6"/>
      <c r="P131" s="6"/>
      <c r="Q131" s="6"/>
      <c r="R131" s="6"/>
    </row>
    <row r="132" spans="2:18" ht="16.5" thickBot="1">
      <c r="B132" s="108">
        <v>50</v>
      </c>
      <c r="C132" s="107" t="s">
        <v>1671</v>
      </c>
      <c r="D132" s="104" t="s">
        <v>243</v>
      </c>
      <c r="E132" s="15" t="s">
        <v>110</v>
      </c>
      <c r="F132" s="96" t="s">
        <v>619</v>
      </c>
      <c r="G132" s="50" t="str">
        <f t="shared" si="7"/>
        <v>RM05_DI06_Tray Feeding Conveyor Buffer Tray Present Sensor 2</v>
      </c>
      <c r="H132" s="15" t="s">
        <v>457</v>
      </c>
      <c r="I132" s="26" t="s">
        <v>209</v>
      </c>
      <c r="J132" s="15" t="s">
        <v>633</v>
      </c>
      <c r="K132" s="6"/>
      <c r="L132" s="6"/>
      <c r="M132" s="6"/>
      <c r="N132" s="6"/>
      <c r="O132" s="6"/>
      <c r="P132" s="6"/>
      <c r="Q132" s="6"/>
      <c r="R132" s="6"/>
    </row>
    <row r="133" spans="2:18" ht="16.5" thickBot="1">
      <c r="B133" s="108">
        <v>51</v>
      </c>
      <c r="C133" s="107" t="s">
        <v>1671</v>
      </c>
      <c r="D133" s="104" t="s">
        <v>247</v>
      </c>
      <c r="E133" s="15" t="s">
        <v>110</v>
      </c>
      <c r="F133" s="96" t="s">
        <v>621</v>
      </c>
      <c r="G133" s="50" t="str">
        <f t="shared" si="7"/>
        <v>RM05_DI07_Tray Feeding Conveyor Exit Tray Present Sensor 1</v>
      </c>
      <c r="H133" s="15" t="s">
        <v>457</v>
      </c>
      <c r="I133" s="26" t="s">
        <v>209</v>
      </c>
      <c r="J133" s="15" t="s">
        <v>635</v>
      </c>
      <c r="K133" s="6"/>
      <c r="L133" s="6"/>
      <c r="M133" s="6"/>
      <c r="N133" s="6"/>
      <c r="O133" s="6"/>
      <c r="P133" s="6"/>
      <c r="Q133" s="6"/>
      <c r="R133" s="6"/>
    </row>
    <row r="134" spans="2:18" ht="16.5" thickBot="1">
      <c r="B134" s="108">
        <v>52</v>
      </c>
      <c r="C134" s="107" t="s">
        <v>1671</v>
      </c>
      <c r="D134" s="104" t="s">
        <v>251</v>
      </c>
      <c r="E134" s="15" t="s">
        <v>110</v>
      </c>
      <c r="F134" s="96" t="s">
        <v>623</v>
      </c>
      <c r="G134" s="50" t="str">
        <f t="shared" si="7"/>
        <v>RM05_DI08_Tray Feeding Conveyor Exit Tray Present Sensor 2</v>
      </c>
      <c r="H134" s="15" t="s">
        <v>457</v>
      </c>
      <c r="I134" s="26" t="s">
        <v>209</v>
      </c>
      <c r="J134" s="15" t="s">
        <v>637</v>
      </c>
      <c r="K134" s="6"/>
      <c r="L134" s="6"/>
      <c r="M134" s="6"/>
      <c r="N134" s="6"/>
      <c r="O134" s="6"/>
      <c r="P134" s="6"/>
      <c r="Q134" s="6"/>
      <c r="R134" s="6"/>
    </row>
    <row r="135" spans="2:18" ht="16.5" thickBot="1">
      <c r="B135" s="108">
        <v>53</v>
      </c>
      <c r="C135" s="107" t="s">
        <v>1671</v>
      </c>
      <c r="D135" s="104" t="s">
        <v>258</v>
      </c>
      <c r="E135" s="15" t="s">
        <v>110</v>
      </c>
      <c r="F135" s="140" t="s">
        <v>626</v>
      </c>
      <c r="G135" s="50" t="str">
        <f t="shared" si="7"/>
        <v>RM05_DI09_Tray Feeding Conveyor Rejection Tray Sensor</v>
      </c>
      <c r="H135" s="15" t="s">
        <v>457</v>
      </c>
      <c r="I135" s="26" t="s">
        <v>209</v>
      </c>
      <c r="J135" s="15" t="s">
        <v>638</v>
      </c>
      <c r="K135" s="6"/>
      <c r="L135" s="6"/>
      <c r="M135" s="6"/>
      <c r="N135" s="6"/>
      <c r="O135" s="6"/>
      <c r="P135" s="6"/>
      <c r="Q135" s="6"/>
      <c r="R135" s="6"/>
    </row>
    <row r="136" spans="2:18" ht="16.5" thickBot="1">
      <c r="B136" s="108">
        <v>54</v>
      </c>
      <c r="C136" s="107" t="s">
        <v>1671</v>
      </c>
      <c r="D136" s="104" t="s">
        <v>264</v>
      </c>
      <c r="E136" s="15" t="s">
        <v>110</v>
      </c>
      <c r="F136" s="168" t="s">
        <v>980</v>
      </c>
      <c r="G136" s="184" t="str">
        <f t="shared" si="7"/>
        <v>RM05_DI10_Tray Feeding Conveyor Buffer Stopper FWD FB</v>
      </c>
      <c r="H136" s="15"/>
      <c r="I136" s="26" t="s">
        <v>209</v>
      </c>
      <c r="J136" s="15"/>
      <c r="K136" s="6"/>
      <c r="L136" s="6"/>
      <c r="M136" s="6"/>
      <c r="N136" s="6"/>
      <c r="O136" s="6"/>
      <c r="P136" s="6"/>
      <c r="Q136" s="6"/>
      <c r="R136" s="6"/>
    </row>
    <row r="137" spans="2:18" ht="16.5" thickBot="1">
      <c r="B137" s="108">
        <v>55</v>
      </c>
      <c r="C137" s="107" t="s">
        <v>1671</v>
      </c>
      <c r="D137" s="104" t="s">
        <v>270</v>
      </c>
      <c r="E137" s="15" t="s">
        <v>110</v>
      </c>
      <c r="F137" s="168" t="s">
        <v>981</v>
      </c>
      <c r="G137" s="184" t="str">
        <f t="shared" si="7"/>
        <v>RM05_DI11_Tray Feeding Conveyor Buffer Stopper Rev FB</v>
      </c>
      <c r="H137" s="15"/>
      <c r="I137" s="26" t="s">
        <v>209</v>
      </c>
      <c r="J137" s="26"/>
      <c r="K137" s="6"/>
      <c r="L137" s="6"/>
      <c r="M137" s="6"/>
      <c r="N137" s="6"/>
      <c r="O137" s="6"/>
      <c r="P137" s="6"/>
      <c r="Q137" s="6"/>
      <c r="R137" s="6"/>
    </row>
    <row r="138" spans="2:18" ht="16.5" thickBot="1">
      <c r="B138" s="110">
        <v>56</v>
      </c>
      <c r="C138" s="107" t="s">
        <v>1671</v>
      </c>
      <c r="D138" s="104" t="s">
        <v>275</v>
      </c>
      <c r="E138" s="15" t="s">
        <v>110</v>
      </c>
      <c r="F138" s="127" t="s">
        <v>129</v>
      </c>
      <c r="G138" s="50" t="str">
        <f t="shared" si="7"/>
        <v>RM05_DI12_Spare DI</v>
      </c>
      <c r="H138" s="15"/>
      <c r="I138" s="26" t="s">
        <v>209</v>
      </c>
      <c r="J138" s="26"/>
      <c r="K138" s="6"/>
      <c r="L138" s="6"/>
      <c r="M138" s="6"/>
      <c r="N138" s="6"/>
      <c r="O138" s="6"/>
      <c r="P138" s="6"/>
      <c r="Q138" s="6"/>
      <c r="R138" s="6"/>
    </row>
    <row r="139" spans="2:18" ht="16.5" thickBot="1">
      <c r="B139" s="106">
        <v>57</v>
      </c>
      <c r="C139" s="107" t="s">
        <v>1672</v>
      </c>
      <c r="D139" s="104" t="s">
        <v>206</v>
      </c>
      <c r="E139" s="15" t="s">
        <v>110</v>
      </c>
      <c r="F139" s="50" t="s">
        <v>666</v>
      </c>
      <c r="G139" s="50" t="str">
        <f t="shared" si="7"/>
        <v>RM06_DI01_Tray Stacker 01 Tray Detection Sensor 01</v>
      </c>
      <c r="H139" s="15" t="s">
        <v>457</v>
      </c>
      <c r="I139" s="26" t="s">
        <v>209</v>
      </c>
      <c r="J139" s="26" t="s">
        <v>641</v>
      </c>
      <c r="K139" s="6"/>
      <c r="L139" s="6"/>
      <c r="M139" s="6"/>
      <c r="N139" s="6"/>
      <c r="O139" s="6"/>
      <c r="P139" s="6"/>
      <c r="Q139" s="6"/>
      <c r="R139" s="6"/>
    </row>
    <row r="140" spans="2:18" ht="16.5" thickBot="1">
      <c r="B140" s="108">
        <v>58</v>
      </c>
      <c r="C140" s="107" t="s">
        <v>1672</v>
      </c>
      <c r="D140" s="104" t="s">
        <v>216</v>
      </c>
      <c r="E140" s="15" t="s">
        <v>110</v>
      </c>
      <c r="F140" s="50" t="s">
        <v>669</v>
      </c>
      <c r="G140" s="50" t="str">
        <f t="shared" si="7"/>
        <v>RM06_DI02_Tray Stacker 01 Tray Detection Sensor 02</v>
      </c>
      <c r="H140" s="15" t="s">
        <v>457</v>
      </c>
      <c r="I140" s="26" t="s">
        <v>209</v>
      </c>
      <c r="J140" s="26" t="s">
        <v>643</v>
      </c>
      <c r="K140" s="6"/>
      <c r="L140" s="6"/>
      <c r="M140" s="6"/>
      <c r="N140" s="6"/>
      <c r="O140" s="6"/>
      <c r="P140" s="6"/>
      <c r="Q140" s="6"/>
      <c r="R140" s="6"/>
    </row>
    <row r="141" spans="2:18" ht="16.5" thickBot="1">
      <c r="B141" s="108">
        <v>59</v>
      </c>
      <c r="C141" s="107" t="s">
        <v>1672</v>
      </c>
      <c r="D141" s="104" t="s">
        <v>223</v>
      </c>
      <c r="E141" s="15" t="s">
        <v>110</v>
      </c>
      <c r="F141" s="139" t="s">
        <v>672</v>
      </c>
      <c r="G141" s="184" t="str">
        <f t="shared" si="7"/>
        <v>RM06_DI03_Tray Stacker 01 Tray Centering FWD FB</v>
      </c>
      <c r="H141" s="15" t="s">
        <v>470</v>
      </c>
      <c r="I141" s="26" t="s">
        <v>209</v>
      </c>
      <c r="J141" s="15" t="s">
        <v>599</v>
      </c>
      <c r="K141" s="6"/>
      <c r="L141" s="6"/>
      <c r="M141" s="6"/>
      <c r="N141" s="6"/>
      <c r="O141" s="6"/>
      <c r="P141" s="6"/>
      <c r="Q141" s="6"/>
      <c r="R141" s="6"/>
    </row>
    <row r="142" spans="2:18" ht="16.5" thickBot="1">
      <c r="B142" s="108">
        <v>60</v>
      </c>
      <c r="C142" s="107" t="s">
        <v>1672</v>
      </c>
      <c r="D142" s="104" t="s">
        <v>230</v>
      </c>
      <c r="E142" s="15" t="s">
        <v>110</v>
      </c>
      <c r="F142" s="139" t="s">
        <v>675</v>
      </c>
      <c r="G142" s="184" t="str">
        <f t="shared" si="7"/>
        <v>RM06_DI04_Tray Stacker 01 Tray Centering REV FB</v>
      </c>
      <c r="H142" s="15" t="s">
        <v>470</v>
      </c>
      <c r="I142" s="26" t="s">
        <v>209</v>
      </c>
      <c r="J142" s="15" t="s">
        <v>601</v>
      </c>
      <c r="K142" s="6"/>
      <c r="L142" s="6"/>
      <c r="M142" s="6"/>
      <c r="N142" s="6"/>
      <c r="O142" s="6"/>
      <c r="P142" s="6"/>
      <c r="Q142" s="6"/>
      <c r="R142" s="6"/>
    </row>
    <row r="143" spans="2:18" ht="16.5" thickBot="1">
      <c r="B143" s="108">
        <v>61</v>
      </c>
      <c r="C143" s="107" t="s">
        <v>1672</v>
      </c>
      <c r="D143" s="104" t="s">
        <v>237</v>
      </c>
      <c r="E143" s="15" t="s">
        <v>110</v>
      </c>
      <c r="F143" s="139" t="s">
        <v>678</v>
      </c>
      <c r="G143" s="184" t="str">
        <f t="shared" si="7"/>
        <v>RM06_DI05_Tray Stacker 01 Tray Referencing FWD FB</v>
      </c>
      <c r="H143" s="15" t="s">
        <v>470</v>
      </c>
      <c r="I143" s="26" t="s">
        <v>209</v>
      </c>
      <c r="J143" s="15" t="s">
        <v>653</v>
      </c>
      <c r="K143" s="6"/>
      <c r="L143" s="6"/>
      <c r="M143" s="6"/>
      <c r="N143" s="6"/>
      <c r="O143" s="6"/>
      <c r="P143" s="6"/>
      <c r="Q143" s="6"/>
      <c r="R143" s="6"/>
    </row>
    <row r="144" spans="2:18" ht="16.5" thickBot="1">
      <c r="B144" s="108">
        <v>62</v>
      </c>
      <c r="C144" s="107" t="s">
        <v>1672</v>
      </c>
      <c r="D144" s="104" t="s">
        <v>243</v>
      </c>
      <c r="E144" s="15" t="s">
        <v>110</v>
      </c>
      <c r="F144" s="139" t="s">
        <v>681</v>
      </c>
      <c r="G144" s="184" t="str">
        <f t="shared" ref="G144:G174" si="9">CONCATENATE(C144,E144,D144,E144,F144)</f>
        <v>RM06_DI06_Tray Stacker 01 Tray Referencing REV FB</v>
      </c>
      <c r="H144" s="15" t="s">
        <v>470</v>
      </c>
      <c r="I144" s="26" t="s">
        <v>209</v>
      </c>
      <c r="J144" s="15" t="s">
        <v>655</v>
      </c>
      <c r="K144" s="6"/>
      <c r="L144" s="6"/>
      <c r="M144" s="6"/>
      <c r="N144" s="6"/>
      <c r="O144" s="6"/>
      <c r="P144" s="6"/>
      <c r="Q144" s="6"/>
      <c r="R144" s="6"/>
    </row>
    <row r="145" spans="2:18" ht="16.5" thickBot="1">
      <c r="B145" s="108">
        <v>63</v>
      </c>
      <c r="C145" s="107" t="s">
        <v>1672</v>
      </c>
      <c r="D145" s="104" t="s">
        <v>247</v>
      </c>
      <c r="E145" s="15" t="s">
        <v>110</v>
      </c>
      <c r="F145" s="68" t="s">
        <v>129</v>
      </c>
      <c r="G145" s="50" t="str">
        <f t="shared" si="9"/>
        <v>RM06_DI07_Spare DI</v>
      </c>
      <c r="H145" s="15" t="s">
        <v>470</v>
      </c>
      <c r="I145" s="26" t="s">
        <v>209</v>
      </c>
      <c r="J145" s="15" t="s">
        <v>657</v>
      </c>
      <c r="K145" s="6"/>
      <c r="L145" s="6"/>
      <c r="M145" s="6"/>
      <c r="N145" s="6"/>
      <c r="O145" s="6"/>
      <c r="P145" s="6"/>
      <c r="Q145" s="6"/>
      <c r="R145" s="6"/>
    </row>
    <row r="146" spans="2:18" ht="16.5" thickBot="1">
      <c r="B146" s="108">
        <v>64</v>
      </c>
      <c r="C146" s="107" t="s">
        <v>1672</v>
      </c>
      <c r="D146" s="104" t="s">
        <v>251</v>
      </c>
      <c r="E146" s="15" t="s">
        <v>110</v>
      </c>
      <c r="F146" s="127" t="s">
        <v>129</v>
      </c>
      <c r="G146" s="50" t="str">
        <f t="shared" si="9"/>
        <v>RM06_DI08_Spare DI</v>
      </c>
      <c r="H146" s="127"/>
      <c r="I146" s="26" t="s">
        <v>209</v>
      </c>
      <c r="J146" s="15"/>
      <c r="K146" s="6"/>
      <c r="L146" s="6"/>
      <c r="M146" s="6"/>
      <c r="N146" s="6"/>
      <c r="O146" s="6"/>
      <c r="P146" s="6"/>
      <c r="Q146" s="6"/>
      <c r="R146" s="6"/>
    </row>
    <row r="147" spans="2:18" ht="16.5" thickBot="1">
      <c r="B147" s="108">
        <v>65</v>
      </c>
      <c r="C147" s="107" t="s">
        <v>1672</v>
      </c>
      <c r="D147" s="104" t="s">
        <v>258</v>
      </c>
      <c r="E147" s="15" t="s">
        <v>110</v>
      </c>
      <c r="F147" s="127" t="s">
        <v>129</v>
      </c>
      <c r="G147" s="50" t="str">
        <f t="shared" si="9"/>
        <v>RM06_DI09_Spare DI</v>
      </c>
      <c r="H147" s="15"/>
      <c r="I147" s="26" t="s">
        <v>209</v>
      </c>
      <c r="J147" s="15"/>
      <c r="K147" s="6"/>
      <c r="L147" s="6"/>
      <c r="M147" s="6"/>
      <c r="N147" s="6"/>
      <c r="O147" s="6"/>
      <c r="P147" s="6"/>
      <c r="Q147" s="6"/>
      <c r="R147" s="6"/>
    </row>
    <row r="148" spans="2:18" ht="16.5" thickBot="1">
      <c r="B148" s="108">
        <v>66</v>
      </c>
      <c r="C148" s="107" t="s">
        <v>1672</v>
      </c>
      <c r="D148" s="104" t="s">
        <v>264</v>
      </c>
      <c r="E148" s="15" t="s">
        <v>110</v>
      </c>
      <c r="F148" s="127" t="s">
        <v>129</v>
      </c>
      <c r="G148" s="50" t="str">
        <f t="shared" si="9"/>
        <v>RM06_DI10_Spare DI</v>
      </c>
      <c r="H148" s="15"/>
      <c r="I148" s="26" t="s">
        <v>209</v>
      </c>
      <c r="J148" s="15"/>
      <c r="K148" s="6"/>
      <c r="L148" s="6"/>
      <c r="M148" s="6"/>
      <c r="N148" s="6"/>
      <c r="O148" s="6"/>
      <c r="P148" s="6"/>
      <c r="Q148" s="6"/>
      <c r="R148" s="6"/>
    </row>
    <row r="149" spans="2:18" ht="16.5" thickBot="1">
      <c r="B149" s="108">
        <v>67</v>
      </c>
      <c r="C149" s="107" t="s">
        <v>1672</v>
      </c>
      <c r="D149" s="104" t="s">
        <v>270</v>
      </c>
      <c r="E149" s="15" t="s">
        <v>110</v>
      </c>
      <c r="F149" s="127" t="s">
        <v>129</v>
      </c>
      <c r="G149" s="50" t="str">
        <f t="shared" si="9"/>
        <v>RM06_DI11_Spare DI</v>
      </c>
      <c r="H149" s="15"/>
      <c r="I149" s="26" t="s">
        <v>209</v>
      </c>
      <c r="J149" s="26"/>
      <c r="K149" s="6"/>
      <c r="L149" s="6"/>
      <c r="M149" s="6"/>
      <c r="N149" s="6"/>
      <c r="O149" s="6"/>
      <c r="P149" s="6"/>
      <c r="Q149" s="6"/>
      <c r="R149" s="6"/>
    </row>
    <row r="150" spans="2:18" ht="16.5" thickBot="1">
      <c r="B150" s="110">
        <v>68</v>
      </c>
      <c r="C150" s="107" t="s">
        <v>1672</v>
      </c>
      <c r="D150" s="104" t="s">
        <v>275</v>
      </c>
      <c r="E150" s="15" t="s">
        <v>110</v>
      </c>
      <c r="F150" s="127" t="s">
        <v>129</v>
      </c>
      <c r="G150" s="50" t="str">
        <f t="shared" si="9"/>
        <v>RM06_DI12_Spare DI</v>
      </c>
      <c r="H150" s="127"/>
      <c r="I150" s="26" t="s">
        <v>209</v>
      </c>
      <c r="J150" s="26"/>
      <c r="K150" s="6"/>
      <c r="L150" s="6"/>
      <c r="M150" s="6"/>
      <c r="N150" s="6"/>
      <c r="O150" s="6"/>
      <c r="P150" s="6"/>
      <c r="Q150" s="6"/>
      <c r="R150" s="6"/>
    </row>
    <row r="151" spans="2:18" ht="16.5" thickBot="1">
      <c r="B151" s="106">
        <v>69</v>
      </c>
      <c r="C151" s="107" t="s">
        <v>1673</v>
      </c>
      <c r="D151" s="104" t="s">
        <v>206</v>
      </c>
      <c r="E151" s="15" t="s">
        <v>110</v>
      </c>
      <c r="F151" s="50" t="s">
        <v>683</v>
      </c>
      <c r="G151" s="50" t="str">
        <f t="shared" si="9"/>
        <v>RM07_DI01_Tray Stacker 02 Tray Detection Sensor 01</v>
      </c>
      <c r="H151" s="15" t="s">
        <v>457</v>
      </c>
      <c r="I151" s="26" t="s">
        <v>209</v>
      </c>
      <c r="J151" s="15" t="s">
        <v>649</v>
      </c>
      <c r="K151" s="6"/>
      <c r="L151" s="6"/>
      <c r="M151" s="6"/>
      <c r="N151" s="6"/>
      <c r="O151" s="6"/>
      <c r="P151" s="6"/>
      <c r="Q151" s="6"/>
      <c r="R151" s="6"/>
    </row>
    <row r="152" spans="2:18" ht="16.5" thickBot="1">
      <c r="B152" s="108">
        <v>70</v>
      </c>
      <c r="C152" s="107" t="s">
        <v>1673</v>
      </c>
      <c r="D152" s="104" t="s">
        <v>216</v>
      </c>
      <c r="E152" s="15" t="s">
        <v>110</v>
      </c>
      <c r="F152" s="50" t="s">
        <v>684</v>
      </c>
      <c r="G152" s="50" t="str">
        <f t="shared" si="9"/>
        <v>RM07_DI02_Tray Stacker 02 Tray Detection Sensor 02</v>
      </c>
      <c r="H152" s="15" t="s">
        <v>457</v>
      </c>
      <c r="I152" s="26" t="s">
        <v>209</v>
      </c>
      <c r="J152" s="15" t="s">
        <v>651</v>
      </c>
      <c r="K152" s="6"/>
      <c r="L152" s="6"/>
      <c r="M152" s="6"/>
      <c r="N152" s="6"/>
      <c r="O152" s="6"/>
      <c r="P152" s="6"/>
      <c r="Q152" s="6"/>
      <c r="R152" s="6"/>
    </row>
    <row r="153" spans="2:18" ht="16.5" thickBot="1">
      <c r="B153" s="108">
        <v>71</v>
      </c>
      <c r="C153" s="107" t="s">
        <v>1673</v>
      </c>
      <c r="D153" s="104" t="s">
        <v>223</v>
      </c>
      <c r="E153" s="15" t="s">
        <v>110</v>
      </c>
      <c r="F153" s="139" t="s">
        <v>685</v>
      </c>
      <c r="G153" s="184" t="str">
        <f t="shared" si="9"/>
        <v>RM07_DI03_Tray Stacker 02 Tray Centering FWD FB</v>
      </c>
      <c r="H153" s="15" t="s">
        <v>470</v>
      </c>
      <c r="I153" s="26" t="s">
        <v>209</v>
      </c>
      <c r="J153" s="15" t="s">
        <v>659</v>
      </c>
      <c r="K153" s="6"/>
      <c r="L153" s="6"/>
      <c r="M153" s="6"/>
      <c r="N153" s="6"/>
      <c r="O153" s="6"/>
      <c r="P153" s="6"/>
      <c r="Q153" s="6"/>
      <c r="R153" s="6"/>
    </row>
    <row r="154" spans="2:18" ht="16.5" thickBot="1">
      <c r="B154" s="108">
        <v>72</v>
      </c>
      <c r="C154" s="107" t="s">
        <v>1673</v>
      </c>
      <c r="D154" s="104" t="s">
        <v>230</v>
      </c>
      <c r="E154" s="15" t="s">
        <v>110</v>
      </c>
      <c r="F154" s="139" t="s">
        <v>686</v>
      </c>
      <c r="G154" s="184" t="str">
        <f t="shared" si="9"/>
        <v>RM07_DI04_Tray Stacker 02 Tray Centering REV FB</v>
      </c>
      <c r="H154" s="15" t="s">
        <v>470</v>
      </c>
      <c r="I154" s="26" t="s">
        <v>209</v>
      </c>
      <c r="J154" s="15" t="s">
        <v>660</v>
      </c>
      <c r="K154" s="6"/>
      <c r="L154" s="6"/>
      <c r="M154" s="6"/>
      <c r="N154" s="6"/>
      <c r="O154" s="6"/>
      <c r="P154" s="6"/>
      <c r="Q154" s="6"/>
      <c r="R154" s="6"/>
    </row>
    <row r="155" spans="2:18" ht="16.5" thickBot="1">
      <c r="B155" s="108">
        <v>73</v>
      </c>
      <c r="C155" s="107" t="s">
        <v>1673</v>
      </c>
      <c r="D155" s="104" t="s">
        <v>237</v>
      </c>
      <c r="E155" s="15" t="s">
        <v>110</v>
      </c>
      <c r="F155" s="139" t="s">
        <v>688</v>
      </c>
      <c r="G155" s="184" t="str">
        <f t="shared" si="9"/>
        <v>RM07_DI05_Tray Stacker 02 Tray Referencing FWD FB</v>
      </c>
      <c r="H155" s="15" t="s">
        <v>470</v>
      </c>
      <c r="I155" s="26" t="s">
        <v>209</v>
      </c>
      <c r="J155" s="15" t="s">
        <v>661</v>
      </c>
      <c r="K155" s="6"/>
      <c r="L155" s="6"/>
      <c r="M155" s="6"/>
      <c r="N155" s="6"/>
      <c r="O155" s="6"/>
      <c r="P155" s="6"/>
      <c r="Q155" s="6"/>
      <c r="R155" s="6"/>
    </row>
    <row r="156" spans="2:18" ht="16.5" thickBot="1">
      <c r="B156" s="108">
        <v>74</v>
      </c>
      <c r="C156" s="107" t="s">
        <v>1673</v>
      </c>
      <c r="D156" s="104" t="s">
        <v>243</v>
      </c>
      <c r="E156" s="15" t="s">
        <v>110</v>
      </c>
      <c r="F156" s="139" t="s">
        <v>689</v>
      </c>
      <c r="G156" s="184" t="str">
        <f t="shared" si="9"/>
        <v>RM07_DI06_Tray Stacker 02 Tray Referencing REV FB</v>
      </c>
      <c r="H156" s="15" t="s">
        <v>470</v>
      </c>
      <c r="I156" s="26" t="s">
        <v>209</v>
      </c>
      <c r="J156" s="15" t="s">
        <v>662</v>
      </c>
      <c r="K156" s="6"/>
      <c r="L156" s="6"/>
      <c r="M156" s="6"/>
      <c r="N156" s="6"/>
      <c r="O156" s="6"/>
      <c r="P156" s="6"/>
      <c r="Q156" s="6"/>
      <c r="R156" s="6"/>
    </row>
    <row r="157" spans="2:18" ht="16.5" thickBot="1">
      <c r="B157" s="108">
        <v>75</v>
      </c>
      <c r="C157" s="107" t="s">
        <v>1673</v>
      </c>
      <c r="D157" s="104" t="s">
        <v>247</v>
      </c>
      <c r="E157" s="15" t="s">
        <v>110</v>
      </c>
      <c r="F157" s="68" t="s">
        <v>129</v>
      </c>
      <c r="G157" s="50" t="str">
        <f t="shared" si="9"/>
        <v>RM07_DI07_Spare DI</v>
      </c>
      <c r="H157" s="15" t="s">
        <v>470</v>
      </c>
      <c r="I157" s="26" t="s">
        <v>209</v>
      </c>
      <c r="J157" s="15" t="s">
        <v>663</v>
      </c>
      <c r="K157" s="6"/>
      <c r="L157" s="6"/>
      <c r="M157" s="6"/>
      <c r="N157" s="6"/>
      <c r="O157" s="6"/>
      <c r="P157" s="6"/>
      <c r="Q157" s="6"/>
      <c r="R157" s="6"/>
    </row>
    <row r="158" spans="2:18" ht="16.5" thickBot="1">
      <c r="B158" s="108">
        <v>76</v>
      </c>
      <c r="C158" s="107" t="s">
        <v>1673</v>
      </c>
      <c r="D158" s="104" t="s">
        <v>251</v>
      </c>
      <c r="E158" s="15" t="s">
        <v>110</v>
      </c>
      <c r="F158" s="127" t="s">
        <v>129</v>
      </c>
      <c r="G158" s="50" t="str">
        <f t="shared" si="9"/>
        <v>RM07_DI08_Spare DI</v>
      </c>
      <c r="H158" s="15"/>
      <c r="I158" s="26" t="s">
        <v>209</v>
      </c>
      <c r="J158" s="15"/>
      <c r="K158" s="6"/>
      <c r="L158" s="6"/>
      <c r="M158" s="6"/>
      <c r="N158" s="6"/>
      <c r="O158" s="6"/>
      <c r="P158" s="6"/>
      <c r="Q158" s="6"/>
      <c r="R158" s="6"/>
    </row>
    <row r="159" spans="2:18" ht="16.5" thickBot="1">
      <c r="B159" s="108">
        <v>77</v>
      </c>
      <c r="C159" s="107" t="s">
        <v>1673</v>
      </c>
      <c r="D159" s="104" t="s">
        <v>258</v>
      </c>
      <c r="E159" s="15" t="s">
        <v>110</v>
      </c>
      <c r="F159" s="127" t="s">
        <v>129</v>
      </c>
      <c r="G159" s="50" t="str">
        <f t="shared" si="9"/>
        <v>RM07_DI09_Spare DI</v>
      </c>
      <c r="H159" s="15"/>
      <c r="I159" s="26" t="s">
        <v>209</v>
      </c>
      <c r="J159" s="26"/>
      <c r="K159" s="6"/>
      <c r="L159" s="6"/>
      <c r="M159" s="6"/>
      <c r="N159" s="6"/>
      <c r="O159" s="6"/>
      <c r="P159" s="6"/>
      <c r="Q159" s="6"/>
      <c r="R159" s="6"/>
    </row>
    <row r="160" spans="2:18" ht="16.5" thickBot="1">
      <c r="B160" s="108">
        <v>78</v>
      </c>
      <c r="C160" s="107" t="s">
        <v>1673</v>
      </c>
      <c r="D160" s="104" t="s">
        <v>264</v>
      </c>
      <c r="E160" s="15" t="s">
        <v>110</v>
      </c>
      <c r="F160" s="127" t="s">
        <v>129</v>
      </c>
      <c r="G160" s="50" t="str">
        <f t="shared" si="9"/>
        <v>RM07_DI10_Spare DI</v>
      </c>
      <c r="H160" s="15"/>
      <c r="I160" s="26" t="s">
        <v>209</v>
      </c>
      <c r="J160" s="26"/>
      <c r="K160" s="6"/>
      <c r="L160" s="6"/>
      <c r="M160" s="6"/>
      <c r="N160" s="6"/>
      <c r="O160" s="6"/>
      <c r="P160" s="6"/>
      <c r="Q160" s="6"/>
      <c r="R160" s="6"/>
    </row>
    <row r="161" spans="2:18" ht="16.5" thickBot="1">
      <c r="B161" s="108">
        <v>79</v>
      </c>
      <c r="C161" s="107" t="s">
        <v>1673</v>
      </c>
      <c r="D161" s="104" t="s">
        <v>270</v>
      </c>
      <c r="E161" s="15" t="s">
        <v>110</v>
      </c>
      <c r="F161" s="127" t="s">
        <v>129</v>
      </c>
      <c r="G161" s="50" t="str">
        <f t="shared" si="9"/>
        <v>RM07_DI11_Spare DI</v>
      </c>
      <c r="H161" s="127"/>
      <c r="I161" s="26" t="s">
        <v>209</v>
      </c>
      <c r="J161" s="26"/>
      <c r="K161" s="6"/>
      <c r="L161" s="6"/>
      <c r="M161" s="6"/>
      <c r="N161" s="6"/>
      <c r="O161" s="6"/>
      <c r="P161" s="6"/>
      <c r="Q161" s="6"/>
      <c r="R161" s="6"/>
    </row>
    <row r="162" spans="2:18" ht="16.5" thickBot="1">
      <c r="B162" s="110">
        <v>80</v>
      </c>
      <c r="C162" s="107" t="s">
        <v>1673</v>
      </c>
      <c r="D162" s="104" t="s">
        <v>275</v>
      </c>
      <c r="E162" s="15" t="s">
        <v>110</v>
      </c>
      <c r="F162" s="127" t="s">
        <v>129</v>
      </c>
      <c r="G162" s="50" t="str">
        <f t="shared" si="9"/>
        <v>RM07_DI12_Spare DI</v>
      </c>
      <c r="H162" s="15"/>
      <c r="I162" s="26" t="s">
        <v>209</v>
      </c>
      <c r="J162" s="26"/>
      <c r="K162" s="6"/>
      <c r="L162" s="6"/>
      <c r="M162" s="6"/>
      <c r="N162" s="6"/>
      <c r="O162" s="6"/>
      <c r="P162" s="6"/>
      <c r="Q162" s="6"/>
      <c r="R162" s="6"/>
    </row>
    <row r="163" spans="2:18" ht="16.5" thickBot="1">
      <c r="B163" s="106">
        <v>81</v>
      </c>
      <c r="C163" s="107" t="s">
        <v>1674</v>
      </c>
      <c r="D163" s="104" t="s">
        <v>206</v>
      </c>
      <c r="E163" s="15" t="s">
        <v>110</v>
      </c>
      <c r="F163" s="30" t="s">
        <v>625</v>
      </c>
      <c r="G163" s="184" t="str">
        <f t="shared" si="9"/>
        <v>RM08_DI01_Tray Transfer ROBOT Vacuum Pressure Switch-1</v>
      </c>
      <c r="H163" s="15" t="s">
        <v>627</v>
      </c>
      <c r="I163" s="26" t="s">
        <v>209</v>
      </c>
      <c r="J163" s="15" t="s">
        <v>628</v>
      </c>
      <c r="K163" s="6"/>
      <c r="L163" s="6"/>
      <c r="M163" s="6"/>
      <c r="N163" s="6"/>
      <c r="O163" s="6"/>
      <c r="P163" s="6"/>
      <c r="Q163" s="6"/>
      <c r="R163" s="6"/>
    </row>
    <row r="164" spans="2:18" ht="16.5" thickBot="1">
      <c r="B164" s="108">
        <v>82</v>
      </c>
      <c r="C164" s="107" t="s">
        <v>1674</v>
      </c>
      <c r="D164" s="104" t="s">
        <v>216</v>
      </c>
      <c r="E164" s="15" t="s">
        <v>110</v>
      </c>
      <c r="F164" s="30" t="s">
        <v>629</v>
      </c>
      <c r="G164" s="184" t="str">
        <f t="shared" si="9"/>
        <v>RM08_DI02_Tray Transfer ROBOT Vacuum Pressure Switch-2</v>
      </c>
      <c r="H164" s="15" t="s">
        <v>627</v>
      </c>
      <c r="I164" s="26" t="s">
        <v>209</v>
      </c>
      <c r="J164" s="15" t="s">
        <v>631</v>
      </c>
      <c r="K164" s="6"/>
      <c r="L164" s="6"/>
      <c r="M164" s="6"/>
      <c r="N164" s="6"/>
      <c r="O164" s="6"/>
      <c r="P164" s="6"/>
      <c r="Q164" s="6"/>
      <c r="R164" s="6"/>
    </row>
    <row r="165" spans="2:18" ht="16.5" thickBot="1">
      <c r="B165" s="108">
        <v>83</v>
      </c>
      <c r="C165" s="107" t="s">
        <v>1674</v>
      </c>
      <c r="D165" s="104" t="s">
        <v>223</v>
      </c>
      <c r="E165" s="15" t="s">
        <v>110</v>
      </c>
      <c r="F165" s="141" t="s">
        <v>690</v>
      </c>
      <c r="G165" s="184" t="str">
        <f t="shared" si="9"/>
        <v>RM08_DI03_Tray Transfer ROBOT Tray Lifter UP FB</v>
      </c>
      <c r="H165" s="15" t="s">
        <v>470</v>
      </c>
      <c r="I165" s="26" t="s">
        <v>209</v>
      </c>
      <c r="J165" s="15" t="s">
        <v>673</v>
      </c>
      <c r="K165" s="6"/>
      <c r="L165" s="6"/>
      <c r="M165" s="6"/>
      <c r="N165" s="6"/>
      <c r="O165" s="6"/>
      <c r="P165" s="6"/>
      <c r="Q165" s="6"/>
    </row>
    <row r="166" spans="2:18" ht="16.5" thickBot="1">
      <c r="B166" s="108">
        <v>84</v>
      </c>
      <c r="C166" s="107" t="s">
        <v>1674</v>
      </c>
      <c r="D166" s="104" t="s">
        <v>230</v>
      </c>
      <c r="E166" s="15" t="s">
        <v>110</v>
      </c>
      <c r="F166" s="141" t="s">
        <v>691</v>
      </c>
      <c r="G166" s="184" t="str">
        <f t="shared" si="9"/>
        <v>RM08_DI04_Tray Transfer ROBOT Tray Lifter DOWN FB</v>
      </c>
      <c r="H166" s="15" t="s">
        <v>470</v>
      </c>
      <c r="I166" s="26" t="s">
        <v>209</v>
      </c>
      <c r="J166" s="15" t="s">
        <v>676</v>
      </c>
      <c r="K166" s="6"/>
      <c r="L166" s="6"/>
      <c r="M166" s="6"/>
      <c r="N166" s="6"/>
      <c r="O166" s="6"/>
      <c r="P166" s="6"/>
      <c r="Q166" s="6"/>
    </row>
    <row r="167" spans="2:18" ht="16.5" thickBot="1">
      <c r="B167" s="108">
        <v>85</v>
      </c>
      <c r="C167" s="107" t="s">
        <v>1674</v>
      </c>
      <c r="D167" s="104" t="s">
        <v>237</v>
      </c>
      <c r="E167" s="15" t="s">
        <v>110</v>
      </c>
      <c r="F167" s="141" t="s">
        <v>692</v>
      </c>
      <c r="G167" s="50" t="str">
        <f t="shared" si="9"/>
        <v>RM08_DI05_Tray Transfer ROBOT Tray Present Sensor</v>
      </c>
      <c r="H167" s="15" t="s">
        <v>457</v>
      </c>
      <c r="I167" s="26" t="s">
        <v>209</v>
      </c>
      <c r="J167" s="15" t="s">
        <v>667</v>
      </c>
      <c r="K167" s="6"/>
      <c r="L167" s="6"/>
      <c r="M167" s="6"/>
      <c r="N167" s="6"/>
      <c r="O167" s="6"/>
      <c r="P167" s="6"/>
      <c r="Q167" s="6"/>
    </row>
    <row r="168" spans="2:18" ht="16.5" thickBot="1">
      <c r="B168" s="108">
        <v>86</v>
      </c>
      <c r="C168" s="107" t="s">
        <v>1674</v>
      </c>
      <c r="D168" s="104" t="s">
        <v>243</v>
      </c>
      <c r="E168" s="15" t="s">
        <v>110</v>
      </c>
      <c r="F168" s="127" t="s">
        <v>129</v>
      </c>
      <c r="G168" s="50" t="str">
        <f t="shared" si="9"/>
        <v>RM08_DI06_Spare DI</v>
      </c>
      <c r="H168" s="15"/>
      <c r="I168" s="26" t="s">
        <v>209</v>
      </c>
      <c r="J168" s="15"/>
      <c r="K168" s="6"/>
      <c r="L168" s="6"/>
      <c r="M168" s="6"/>
      <c r="N168" s="6"/>
      <c r="O168" s="6"/>
      <c r="P168" s="6"/>
      <c r="Q168" s="6"/>
    </row>
    <row r="169" spans="2:18" ht="16.5" thickBot="1">
      <c r="B169" s="108">
        <v>87</v>
      </c>
      <c r="C169" s="107" t="s">
        <v>1674</v>
      </c>
      <c r="D169" s="104" t="s">
        <v>247</v>
      </c>
      <c r="E169" s="15" t="s">
        <v>110</v>
      </c>
      <c r="F169" s="127" t="s">
        <v>129</v>
      </c>
      <c r="G169" s="50" t="str">
        <f t="shared" si="9"/>
        <v>RM08_DI07_Spare DI</v>
      </c>
      <c r="H169" s="15"/>
      <c r="I169" s="26" t="s">
        <v>209</v>
      </c>
      <c r="J169" s="15"/>
      <c r="K169" s="6"/>
      <c r="L169" s="6"/>
      <c r="M169" s="6"/>
      <c r="N169" s="6"/>
      <c r="O169" s="6"/>
      <c r="P169" s="6"/>
      <c r="Q169" s="6"/>
    </row>
    <row r="170" spans="2:18" ht="16.5" thickBot="1">
      <c r="B170" s="108">
        <v>88</v>
      </c>
      <c r="C170" s="107" t="s">
        <v>1674</v>
      </c>
      <c r="D170" s="104" t="s">
        <v>251</v>
      </c>
      <c r="E170" s="15" t="s">
        <v>110</v>
      </c>
      <c r="F170" s="127" t="s">
        <v>129</v>
      </c>
      <c r="G170" s="50" t="str">
        <f t="shared" si="9"/>
        <v>RM08_DI08_Spare DI</v>
      </c>
      <c r="H170" s="15"/>
      <c r="I170" s="26" t="s">
        <v>209</v>
      </c>
      <c r="J170" s="15"/>
      <c r="K170" s="6"/>
      <c r="L170" s="6"/>
      <c r="M170" s="6"/>
      <c r="N170" s="6"/>
      <c r="O170" s="6"/>
      <c r="P170" s="6"/>
      <c r="Q170" s="6"/>
    </row>
    <row r="171" spans="2:18" ht="16.5" thickBot="1">
      <c r="B171" s="108">
        <v>89</v>
      </c>
      <c r="C171" s="107" t="s">
        <v>1674</v>
      </c>
      <c r="D171" s="104" t="s">
        <v>258</v>
      </c>
      <c r="E171" s="15" t="s">
        <v>110</v>
      </c>
      <c r="F171" s="127" t="s">
        <v>129</v>
      </c>
      <c r="G171" s="50" t="str">
        <f t="shared" si="9"/>
        <v>RM08_DI09_Spare DI</v>
      </c>
      <c r="H171" s="15"/>
      <c r="I171" s="26" t="s">
        <v>209</v>
      </c>
      <c r="J171" s="15"/>
      <c r="K171" s="6"/>
      <c r="L171" s="6"/>
      <c r="M171" s="6"/>
      <c r="N171" s="6"/>
      <c r="O171" s="6"/>
      <c r="P171" s="6"/>
      <c r="Q171" s="6"/>
    </row>
    <row r="172" spans="2:18" ht="16.5" thickBot="1">
      <c r="B172" s="108">
        <v>90</v>
      </c>
      <c r="C172" s="107" t="s">
        <v>1674</v>
      </c>
      <c r="D172" s="104" t="s">
        <v>264</v>
      </c>
      <c r="E172" s="15" t="s">
        <v>110</v>
      </c>
      <c r="F172" s="127" t="s">
        <v>129</v>
      </c>
      <c r="G172" s="50" t="str">
        <f t="shared" si="9"/>
        <v>RM08_DI10_Spare DI</v>
      </c>
      <c r="H172" s="15"/>
      <c r="I172" s="26" t="s">
        <v>209</v>
      </c>
      <c r="J172" s="15"/>
      <c r="K172" s="6"/>
      <c r="L172" s="6"/>
      <c r="M172" s="6"/>
      <c r="N172" s="6"/>
      <c r="O172" s="6"/>
      <c r="P172" s="6"/>
      <c r="Q172" s="6"/>
    </row>
    <row r="173" spans="2:18" ht="16.5" thickBot="1">
      <c r="B173" s="108">
        <v>91</v>
      </c>
      <c r="C173" s="107" t="s">
        <v>1674</v>
      </c>
      <c r="D173" s="104" t="s">
        <v>270</v>
      </c>
      <c r="E173" s="15" t="s">
        <v>110</v>
      </c>
      <c r="F173" s="127" t="s">
        <v>129</v>
      </c>
      <c r="G173" s="50" t="str">
        <f t="shared" si="9"/>
        <v>RM08_DI11_Spare DI</v>
      </c>
      <c r="H173" s="15"/>
      <c r="I173" s="26" t="s">
        <v>209</v>
      </c>
      <c r="J173" s="26"/>
      <c r="K173" s="6"/>
      <c r="L173" s="6"/>
      <c r="M173" s="6"/>
      <c r="N173" s="6"/>
      <c r="O173" s="6"/>
      <c r="P173" s="6"/>
      <c r="Q173" s="6"/>
    </row>
    <row r="174" spans="2:18" ht="16.5" thickBot="1">
      <c r="B174" s="110">
        <v>92</v>
      </c>
      <c r="C174" s="107" t="s">
        <v>1674</v>
      </c>
      <c r="D174" s="104" t="s">
        <v>275</v>
      </c>
      <c r="E174" s="15" t="s">
        <v>110</v>
      </c>
      <c r="F174" s="127" t="s">
        <v>129</v>
      </c>
      <c r="G174" s="50" t="str">
        <f t="shared" si="9"/>
        <v>RM08_DI12_Spare DI</v>
      </c>
      <c r="H174" s="15"/>
      <c r="I174" s="26" t="s">
        <v>209</v>
      </c>
      <c r="J174" s="26"/>
      <c r="K174" s="6"/>
      <c r="L174" s="6"/>
      <c r="M174" s="6"/>
      <c r="N174" s="6"/>
      <c r="O174" s="6"/>
      <c r="P174" s="6"/>
      <c r="Q174" s="6"/>
    </row>
  </sheetData>
  <mergeCells count="3">
    <mergeCell ref="B2:R2"/>
    <mergeCell ref="B3:J3"/>
    <mergeCell ref="K3:R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4"/>
  <sheetViews>
    <sheetView topLeftCell="G1" zoomScale="85" zoomScaleNormal="85" workbookViewId="0">
      <selection activeCell="G9" sqref="G9"/>
    </sheetView>
  </sheetViews>
  <sheetFormatPr defaultColWidth="8.7109375" defaultRowHeight="14.25"/>
  <cols>
    <col min="1" max="1" width="8.7109375" style="6"/>
    <col min="2" max="2" width="11.85546875" style="7" bestFit="1" customWidth="1"/>
    <col min="3" max="3" width="12.28515625" style="7" bestFit="1" customWidth="1"/>
    <col min="4" max="4" width="14.85546875" style="7" bestFit="1" customWidth="1"/>
    <col min="5" max="5" width="12.7109375" style="7" bestFit="1" customWidth="1"/>
    <col min="6" max="6" width="59.140625" style="6" bestFit="1" customWidth="1"/>
    <col min="7" max="7" width="60.28515625" style="6" bestFit="1" customWidth="1"/>
    <col min="8" max="8" width="23.5703125" style="7" bestFit="1" customWidth="1"/>
    <col min="9" max="9" width="11.140625" style="9" bestFit="1" customWidth="1"/>
    <col min="10" max="10" width="14.7109375" style="7" bestFit="1" customWidth="1"/>
    <col min="11" max="11" width="11.85546875" style="7" bestFit="1" customWidth="1"/>
    <col min="12" max="12" width="20" style="7" customWidth="1"/>
    <col min="13" max="13" width="14.85546875" style="7" bestFit="1" customWidth="1"/>
    <col min="14" max="14" width="56.7109375" style="8" bestFit="1" customWidth="1"/>
    <col min="15" max="15" width="56.28515625" style="8" bestFit="1" customWidth="1"/>
    <col min="16" max="16" width="26.5703125" style="9" bestFit="1" customWidth="1"/>
    <col min="17" max="17" width="11.140625" style="7" bestFit="1" customWidth="1"/>
    <col min="18" max="18" width="24.7109375" style="6" bestFit="1" customWidth="1"/>
    <col min="19" max="19" width="9.7109375" style="6" bestFit="1" customWidth="1"/>
    <col min="20" max="16384" width="8.7109375" style="6"/>
  </cols>
  <sheetData>
    <row r="1" spans="2:18" s="4" customFormat="1" ht="16.5" thickBot="1">
      <c r="B1" s="2"/>
      <c r="C1" s="2"/>
      <c r="D1" s="3"/>
      <c r="E1" s="3"/>
      <c r="H1" s="3"/>
      <c r="I1" s="5"/>
      <c r="J1" s="3"/>
      <c r="K1" s="3"/>
      <c r="L1" s="3"/>
      <c r="M1" s="3"/>
      <c r="N1" s="2"/>
      <c r="O1" s="2"/>
      <c r="P1" s="5"/>
      <c r="Q1" s="3"/>
    </row>
    <row r="2" spans="2:18" ht="15.75" thickBot="1">
      <c r="B2" s="227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9"/>
    </row>
    <row r="3" spans="2:18" ht="15.75" thickBot="1">
      <c r="B3" s="227" t="s">
        <v>95</v>
      </c>
      <c r="C3" s="228"/>
      <c r="D3" s="228"/>
      <c r="E3" s="228"/>
      <c r="F3" s="228"/>
      <c r="G3" s="228"/>
      <c r="H3" s="228"/>
      <c r="I3" s="228"/>
      <c r="J3" s="229"/>
      <c r="K3" s="228" t="s">
        <v>96</v>
      </c>
      <c r="L3" s="228"/>
      <c r="M3" s="228"/>
      <c r="N3" s="228"/>
      <c r="O3" s="228"/>
      <c r="P3" s="228"/>
      <c r="Q3" s="228"/>
      <c r="R3" s="229"/>
    </row>
    <row r="4" spans="2:18" ht="16.5" thickBot="1">
      <c r="B4" s="10" t="s">
        <v>97</v>
      </c>
      <c r="C4" s="46"/>
      <c r="D4" s="11" t="s">
        <v>98</v>
      </c>
      <c r="E4" s="11" t="s">
        <v>99</v>
      </c>
      <c r="F4" s="12" t="s">
        <v>100</v>
      </c>
      <c r="G4" s="12"/>
      <c r="H4" s="11" t="s">
        <v>18</v>
      </c>
      <c r="I4" s="13" t="s">
        <v>101</v>
      </c>
      <c r="J4" s="11" t="s">
        <v>102</v>
      </c>
      <c r="K4" s="11" t="s">
        <v>97</v>
      </c>
      <c r="L4" s="11"/>
      <c r="M4" s="11" t="s">
        <v>98</v>
      </c>
      <c r="N4" s="14" t="s">
        <v>103</v>
      </c>
      <c r="O4" s="14"/>
      <c r="P4" s="13" t="s">
        <v>18</v>
      </c>
      <c r="Q4" s="13" t="s">
        <v>101</v>
      </c>
      <c r="R4" s="47" t="s">
        <v>102</v>
      </c>
    </row>
    <row r="5" spans="2:18" ht="16.5" thickBot="1">
      <c r="B5" s="10"/>
      <c r="C5" s="46"/>
      <c r="D5" s="11"/>
      <c r="E5" s="11"/>
      <c r="F5" s="11" t="s">
        <v>104</v>
      </c>
      <c r="G5" s="12"/>
      <c r="H5" s="11"/>
      <c r="I5" s="13"/>
      <c r="J5" s="11"/>
      <c r="K5" s="11"/>
      <c r="L5" s="11"/>
      <c r="M5" s="11"/>
      <c r="N5" s="11" t="s">
        <v>104</v>
      </c>
      <c r="O5" s="11"/>
      <c r="P5" s="13"/>
      <c r="Q5" s="13"/>
      <c r="R5" s="47"/>
    </row>
    <row r="6" spans="2:18" ht="16.5" thickBot="1">
      <c r="B6" s="87"/>
      <c r="C6" s="88"/>
      <c r="D6" s="89"/>
      <c r="E6" s="89"/>
      <c r="F6" s="90" t="s">
        <v>105</v>
      </c>
      <c r="G6" s="90" t="s">
        <v>106</v>
      </c>
      <c r="H6" s="91"/>
      <c r="I6" s="91"/>
      <c r="J6" s="89"/>
      <c r="K6" s="92"/>
      <c r="L6" s="92"/>
      <c r="M6" s="93"/>
      <c r="N6" s="94" t="s">
        <v>107</v>
      </c>
      <c r="O6" s="90" t="s">
        <v>108</v>
      </c>
      <c r="P6" s="91"/>
      <c r="Q6" s="90"/>
      <c r="R6" s="95"/>
    </row>
    <row r="7" spans="2:18" ht="15.75">
      <c r="B7" s="114">
        <v>1</v>
      </c>
      <c r="C7" s="115" t="s">
        <v>109</v>
      </c>
      <c r="D7" s="113" t="s">
        <v>847</v>
      </c>
      <c r="E7" s="67" t="s">
        <v>110</v>
      </c>
      <c r="F7" s="68" t="s">
        <v>121</v>
      </c>
      <c r="G7" s="68" t="str">
        <f t="shared" ref="G7:G24" si="0">CONCATENATE(C7,E7,F7)</f>
        <v>SDI01_Emergency Stop  @ Frame-2 1/1</v>
      </c>
      <c r="H7" s="69" t="s">
        <v>112</v>
      </c>
      <c r="I7" s="69"/>
      <c r="J7" s="120" t="s">
        <v>122</v>
      </c>
      <c r="K7" s="114">
        <v>1</v>
      </c>
      <c r="L7" s="115" t="s">
        <v>114</v>
      </c>
      <c r="M7" s="113" t="s">
        <v>848</v>
      </c>
      <c r="N7" s="68" t="s">
        <v>849</v>
      </c>
      <c r="O7" s="68" t="str">
        <f t="shared" ref="O7:O8" si="1" xml:space="preserve"> CONCATENATE(L7,E7,N7)</f>
        <v>SDO01_Frame-2 STO Safety Relay On_1/1</v>
      </c>
      <c r="P7" s="69" t="s">
        <v>115</v>
      </c>
      <c r="Q7" s="67"/>
      <c r="R7" s="67" t="s">
        <v>850</v>
      </c>
    </row>
    <row r="8" spans="2:18" ht="15.75">
      <c r="B8" s="116">
        <v>2</v>
      </c>
      <c r="C8" s="117" t="s">
        <v>116</v>
      </c>
      <c r="D8" s="113" t="s">
        <v>851</v>
      </c>
      <c r="E8" s="67" t="s">
        <v>110</v>
      </c>
      <c r="F8" s="68" t="s">
        <v>125</v>
      </c>
      <c r="G8" s="68" t="str">
        <f t="shared" si="0"/>
        <v>SDI02_Emergency Stop  @ Frame-2 1/2</v>
      </c>
      <c r="H8" s="69" t="s">
        <v>112</v>
      </c>
      <c r="I8" s="69"/>
      <c r="J8" s="120" t="s">
        <v>126</v>
      </c>
      <c r="K8" s="116">
        <v>2</v>
      </c>
      <c r="L8" s="117" t="s">
        <v>119</v>
      </c>
      <c r="M8" s="113" t="s">
        <v>852</v>
      </c>
      <c r="N8" s="68" t="s">
        <v>853</v>
      </c>
      <c r="O8" s="68" t="str">
        <f t="shared" si="1"/>
        <v>SDO02_Frame-2 STO Safety Relay On_1/2</v>
      </c>
      <c r="P8" s="69" t="s">
        <v>115</v>
      </c>
      <c r="Q8" s="67"/>
      <c r="R8" s="67" t="s">
        <v>854</v>
      </c>
    </row>
    <row r="9" spans="2:18" ht="15.75">
      <c r="B9" s="116">
        <v>3</v>
      </c>
      <c r="C9" s="117" t="s">
        <v>120</v>
      </c>
      <c r="D9" s="113" t="s">
        <v>855</v>
      </c>
      <c r="E9" s="67" t="s">
        <v>110</v>
      </c>
      <c r="F9" s="68" t="s">
        <v>180</v>
      </c>
      <c r="G9" s="68" t="str">
        <f t="shared" si="0"/>
        <v>SDI03_Frame-2 Door Switch-1/1</v>
      </c>
      <c r="H9" s="67" t="s">
        <v>140</v>
      </c>
      <c r="I9" s="69"/>
      <c r="J9" s="67" t="s">
        <v>181</v>
      </c>
      <c r="K9" s="116">
        <v>3</v>
      </c>
      <c r="L9" s="117" t="s">
        <v>123</v>
      </c>
      <c r="M9" s="113" t="s">
        <v>856</v>
      </c>
      <c r="N9" s="68" t="s">
        <v>857</v>
      </c>
      <c r="O9" s="68" t="str">
        <f t="shared" ref="O9:O18" si="2" xml:space="preserve"> CONCATENATE(L7,E7,N9)</f>
        <v>SDO01_Frame-2 Robot Auto Stop Relay Healthy 1/1</v>
      </c>
      <c r="P9" s="69" t="s">
        <v>115</v>
      </c>
      <c r="Q9" s="67"/>
      <c r="R9" s="67" t="s">
        <v>858</v>
      </c>
    </row>
    <row r="10" spans="2:18" ht="15.75">
      <c r="B10" s="116">
        <v>4</v>
      </c>
      <c r="C10" s="117" t="s">
        <v>124</v>
      </c>
      <c r="D10" s="113" t="s">
        <v>859</v>
      </c>
      <c r="E10" s="67" t="s">
        <v>110</v>
      </c>
      <c r="F10" s="68" t="s">
        <v>182</v>
      </c>
      <c r="G10" s="68" t="str">
        <f t="shared" si="0"/>
        <v>SDI04_Frame-2 Door Switch-1/2</v>
      </c>
      <c r="H10" s="67" t="s">
        <v>140</v>
      </c>
      <c r="I10" s="69"/>
      <c r="J10" s="67" t="s">
        <v>183</v>
      </c>
      <c r="K10" s="116">
        <v>4</v>
      </c>
      <c r="L10" s="117" t="s">
        <v>127</v>
      </c>
      <c r="M10" s="113" t="s">
        <v>860</v>
      </c>
      <c r="N10" s="68" t="s">
        <v>861</v>
      </c>
      <c r="O10" s="68" t="str">
        <f t="shared" si="2"/>
        <v>SDO02_Frame-2 Robot Auto Stop Relay Healthy 1/2</v>
      </c>
      <c r="P10" s="69" t="s">
        <v>115</v>
      </c>
      <c r="Q10" s="67"/>
      <c r="R10" s="67" t="s">
        <v>862</v>
      </c>
    </row>
    <row r="11" spans="2:18" ht="15.75">
      <c r="B11" s="116">
        <v>5</v>
      </c>
      <c r="C11" s="117" t="s">
        <v>128</v>
      </c>
      <c r="D11" s="113" t="s">
        <v>863</v>
      </c>
      <c r="E11" s="67" t="s">
        <v>110</v>
      </c>
      <c r="F11" s="68" t="s">
        <v>184</v>
      </c>
      <c r="G11" s="68" t="str">
        <f t="shared" si="0"/>
        <v>SDI05_Frame-2 Door Switch-2/1</v>
      </c>
      <c r="H11" s="67" t="s">
        <v>140</v>
      </c>
      <c r="I11" s="69"/>
      <c r="J11" s="67" t="s">
        <v>185</v>
      </c>
      <c r="K11" s="116">
        <v>5</v>
      </c>
      <c r="L11" s="117" t="s">
        <v>130</v>
      </c>
      <c r="M11" s="113" t="s">
        <v>864</v>
      </c>
      <c r="N11" s="68" t="s">
        <v>865</v>
      </c>
      <c r="O11" s="68" t="str">
        <f t="shared" si="2"/>
        <v>SDO03_Frame-2 Robot E-Stop Relay Healthy 1/1</v>
      </c>
      <c r="P11" s="69" t="s">
        <v>115</v>
      </c>
      <c r="Q11" s="67"/>
      <c r="R11" s="67" t="s">
        <v>866</v>
      </c>
    </row>
    <row r="12" spans="2:18" ht="15.75">
      <c r="B12" s="116">
        <v>6</v>
      </c>
      <c r="C12" s="117" t="s">
        <v>131</v>
      </c>
      <c r="D12" s="113" t="s">
        <v>867</v>
      </c>
      <c r="E12" s="67" t="s">
        <v>110</v>
      </c>
      <c r="F12" s="68" t="s">
        <v>186</v>
      </c>
      <c r="G12" s="68" t="str">
        <f t="shared" si="0"/>
        <v>SDI06_Frame-2 Door Switch-2/2</v>
      </c>
      <c r="H12" s="67" t="s">
        <v>140</v>
      </c>
      <c r="I12" s="69"/>
      <c r="J12" s="67" t="s">
        <v>187</v>
      </c>
      <c r="K12" s="116">
        <v>6</v>
      </c>
      <c r="L12" s="117" t="s">
        <v>132</v>
      </c>
      <c r="M12" s="113" t="s">
        <v>868</v>
      </c>
      <c r="N12" s="68" t="s">
        <v>869</v>
      </c>
      <c r="O12" s="68" t="str">
        <f t="shared" si="2"/>
        <v>SDO04_Frame-2 Robot E-Stop Relay Healthy 1/2</v>
      </c>
      <c r="P12" s="69" t="s">
        <v>115</v>
      </c>
      <c r="Q12" s="67"/>
      <c r="R12" s="67" t="s">
        <v>870</v>
      </c>
    </row>
    <row r="13" spans="2:18" ht="15.75">
      <c r="B13" s="116">
        <v>7</v>
      </c>
      <c r="C13" s="117" t="s">
        <v>133</v>
      </c>
      <c r="D13" s="113" t="s">
        <v>871</v>
      </c>
      <c r="E13" s="67" t="s">
        <v>110</v>
      </c>
      <c r="F13" s="68" t="s">
        <v>188</v>
      </c>
      <c r="G13" s="68" t="str">
        <f t="shared" si="0"/>
        <v>SDI07_Frame-2 Door Switch-3/1</v>
      </c>
      <c r="H13" s="67" t="s">
        <v>140</v>
      </c>
      <c r="I13" s="69"/>
      <c r="J13" s="67" t="s">
        <v>189</v>
      </c>
      <c r="K13" s="116">
        <v>7</v>
      </c>
      <c r="L13" s="117" t="s">
        <v>134</v>
      </c>
      <c r="M13" s="113" t="s">
        <v>872</v>
      </c>
      <c r="N13" s="68" t="s">
        <v>873</v>
      </c>
      <c r="O13" s="68" t="str">
        <f t="shared" si="2"/>
        <v>SDO05_Frame-2 Door Switch Coil-1,2,3,4,5,6/1</v>
      </c>
      <c r="P13" s="69" t="s">
        <v>143</v>
      </c>
      <c r="Q13" s="67"/>
      <c r="R13" s="67" t="s">
        <v>874</v>
      </c>
    </row>
    <row r="14" spans="2:18" ht="16.5" thickBot="1">
      <c r="B14" s="118">
        <v>8</v>
      </c>
      <c r="C14" s="119" t="s">
        <v>136</v>
      </c>
      <c r="D14" s="113" t="s">
        <v>875</v>
      </c>
      <c r="E14" s="67" t="s">
        <v>110</v>
      </c>
      <c r="F14" s="68" t="s">
        <v>190</v>
      </c>
      <c r="G14" s="68" t="str">
        <f t="shared" si="0"/>
        <v>SDI08_Frame-2 Door Switch-3/2</v>
      </c>
      <c r="H14" s="67" t="s">
        <v>140</v>
      </c>
      <c r="I14" s="69"/>
      <c r="J14" s="67" t="s">
        <v>191</v>
      </c>
      <c r="K14" s="118">
        <v>8</v>
      </c>
      <c r="L14" s="119" t="s">
        <v>137</v>
      </c>
      <c r="M14" s="113" t="s">
        <v>876</v>
      </c>
      <c r="N14" s="68" t="s">
        <v>877</v>
      </c>
      <c r="O14" s="68" t="str">
        <f t="shared" si="2"/>
        <v>SDO06_Frame-2 Door Switch Coil-1,2,3,4,5,6/2</v>
      </c>
      <c r="P14" s="69" t="s">
        <v>143</v>
      </c>
      <c r="Q14" s="67"/>
      <c r="R14" s="67" t="s">
        <v>878</v>
      </c>
    </row>
    <row r="15" spans="2:18" ht="15.75">
      <c r="B15" s="114">
        <v>9</v>
      </c>
      <c r="C15" s="115" t="s">
        <v>138</v>
      </c>
      <c r="D15" s="113" t="s">
        <v>879</v>
      </c>
      <c r="E15" s="67" t="s">
        <v>110</v>
      </c>
      <c r="F15" s="68" t="s">
        <v>192</v>
      </c>
      <c r="G15" s="68" t="str">
        <f t="shared" si="0"/>
        <v>SDI09_Frame-2 Door Switch-4/1</v>
      </c>
      <c r="H15" s="67" t="s">
        <v>140</v>
      </c>
      <c r="I15" s="69"/>
      <c r="J15" s="67" t="s">
        <v>193</v>
      </c>
      <c r="K15" s="114">
        <v>9</v>
      </c>
      <c r="L15" s="115" t="s">
        <v>142</v>
      </c>
      <c r="M15" s="67" t="s">
        <v>880</v>
      </c>
      <c r="N15" s="68" t="s">
        <v>881</v>
      </c>
      <c r="O15" s="68" t="str">
        <f t="shared" si="2"/>
        <v>SDO07_Frame-2 Bag Bin-1 Door Switch Coil-7/1</v>
      </c>
      <c r="P15" s="69" t="s">
        <v>143</v>
      </c>
      <c r="Q15" s="67"/>
      <c r="R15" s="67" t="s">
        <v>882</v>
      </c>
    </row>
    <row r="16" spans="2:18" ht="15.75">
      <c r="B16" s="116">
        <v>10</v>
      </c>
      <c r="C16" s="117" t="s">
        <v>144</v>
      </c>
      <c r="D16" s="113" t="s">
        <v>883</v>
      </c>
      <c r="E16" s="67" t="s">
        <v>110</v>
      </c>
      <c r="F16" s="68" t="s">
        <v>194</v>
      </c>
      <c r="G16" s="68" t="str">
        <f t="shared" si="0"/>
        <v>SDI10_Frame-2 Door Switch-4/2</v>
      </c>
      <c r="H16" s="67" t="s">
        <v>140</v>
      </c>
      <c r="I16" s="69"/>
      <c r="J16" s="67" t="s">
        <v>195</v>
      </c>
      <c r="K16" s="116">
        <v>10</v>
      </c>
      <c r="L16" s="117" t="s">
        <v>147</v>
      </c>
      <c r="M16" s="67" t="s">
        <v>884</v>
      </c>
      <c r="N16" s="68" t="s">
        <v>885</v>
      </c>
      <c r="O16" s="68" t="str">
        <f t="shared" si="2"/>
        <v>SDO08_Frame-2 Bag Bin-1 Door Switch Coil-7/2</v>
      </c>
      <c r="P16" s="69" t="s">
        <v>143</v>
      </c>
      <c r="Q16" s="67"/>
      <c r="R16" s="67" t="s">
        <v>886</v>
      </c>
    </row>
    <row r="17" spans="2:18" ht="15.75">
      <c r="B17" s="116">
        <v>11</v>
      </c>
      <c r="C17" s="117" t="s">
        <v>148</v>
      </c>
      <c r="D17" s="113" t="s">
        <v>887</v>
      </c>
      <c r="E17" s="67" t="s">
        <v>110</v>
      </c>
      <c r="F17" s="68" t="s">
        <v>196</v>
      </c>
      <c r="G17" s="68" t="str">
        <f t="shared" si="0"/>
        <v>SDI11_Frame-2 Door Switch-5/1</v>
      </c>
      <c r="H17" s="67" t="s">
        <v>140</v>
      </c>
      <c r="I17" s="69"/>
      <c r="J17" s="67" t="s">
        <v>197</v>
      </c>
      <c r="K17" s="116">
        <v>11</v>
      </c>
      <c r="L17" s="117" t="s">
        <v>151</v>
      </c>
      <c r="M17" s="67" t="s">
        <v>888</v>
      </c>
      <c r="N17" s="68" t="s">
        <v>889</v>
      </c>
      <c r="O17" s="68" t="str">
        <f t="shared" si="2"/>
        <v>SDO09_Frame-2 Bag Bin-2 Door Switch Coil-8/1</v>
      </c>
      <c r="P17" s="69" t="s">
        <v>143</v>
      </c>
      <c r="Q17" s="67"/>
      <c r="R17" s="67" t="s">
        <v>890</v>
      </c>
    </row>
    <row r="18" spans="2:18" ht="15.75">
      <c r="B18" s="116">
        <v>12</v>
      </c>
      <c r="C18" s="117" t="s">
        <v>152</v>
      </c>
      <c r="D18" s="113" t="s">
        <v>891</v>
      </c>
      <c r="E18" s="67" t="s">
        <v>110</v>
      </c>
      <c r="F18" s="68" t="s">
        <v>198</v>
      </c>
      <c r="G18" s="68" t="str">
        <f t="shared" si="0"/>
        <v>SDI12_Frame-2 Door Switch-5/2</v>
      </c>
      <c r="H18" s="67" t="s">
        <v>140</v>
      </c>
      <c r="I18" s="69"/>
      <c r="J18" s="67" t="s">
        <v>199</v>
      </c>
      <c r="K18" s="116">
        <v>12</v>
      </c>
      <c r="L18" s="117" t="s">
        <v>155</v>
      </c>
      <c r="M18" s="67" t="s">
        <v>892</v>
      </c>
      <c r="N18" s="68" t="s">
        <v>893</v>
      </c>
      <c r="O18" s="68" t="str">
        <f t="shared" si="2"/>
        <v>SDO10_Frame-2 Bag Bin-2 Door Switch Coil-8/2</v>
      </c>
      <c r="P18" s="69" t="s">
        <v>143</v>
      </c>
      <c r="Q18" s="67"/>
      <c r="R18" s="67" t="s">
        <v>894</v>
      </c>
    </row>
    <row r="19" spans="2:18" ht="15.75">
      <c r="B19" s="116">
        <v>13</v>
      </c>
      <c r="C19" s="117" t="s">
        <v>156</v>
      </c>
      <c r="D19" s="113" t="s">
        <v>895</v>
      </c>
      <c r="E19" s="67" t="s">
        <v>110</v>
      </c>
      <c r="F19" s="68" t="s">
        <v>200</v>
      </c>
      <c r="G19" s="68" t="str">
        <f t="shared" si="0"/>
        <v>SDI13_Frame-2 Door Switch-6/1</v>
      </c>
      <c r="H19" s="67" t="s">
        <v>140</v>
      </c>
      <c r="I19" s="69"/>
      <c r="J19" s="67" t="s">
        <v>201</v>
      </c>
      <c r="K19" s="116">
        <v>13</v>
      </c>
      <c r="L19" s="117" t="s">
        <v>159</v>
      </c>
      <c r="M19" s="67" t="s">
        <v>896</v>
      </c>
      <c r="N19" s="68" t="s">
        <v>135</v>
      </c>
      <c r="O19" s="68" t="str">
        <f xml:space="preserve"> CONCATENATE(L19,E19,N19)</f>
        <v>SDO13_Spare DO</v>
      </c>
      <c r="P19" s="69"/>
      <c r="Q19" s="67"/>
      <c r="R19" s="67"/>
    </row>
    <row r="20" spans="2:18" ht="15.75">
      <c r="B20" s="116">
        <v>14</v>
      </c>
      <c r="C20" s="117" t="s">
        <v>160</v>
      </c>
      <c r="D20" s="113" t="s">
        <v>897</v>
      </c>
      <c r="E20" s="67" t="s">
        <v>110</v>
      </c>
      <c r="F20" s="68" t="s">
        <v>202</v>
      </c>
      <c r="G20" s="68" t="str">
        <f t="shared" si="0"/>
        <v>SDI14_Frame-2 Door Switch-6/2</v>
      </c>
      <c r="H20" s="67" t="s">
        <v>140</v>
      </c>
      <c r="I20" s="69"/>
      <c r="J20" s="67" t="s">
        <v>203</v>
      </c>
      <c r="K20" s="116">
        <v>14</v>
      </c>
      <c r="L20" s="117" t="s">
        <v>163</v>
      </c>
      <c r="M20" s="67" t="s">
        <v>898</v>
      </c>
      <c r="N20" s="68" t="s">
        <v>135</v>
      </c>
      <c r="O20" s="68" t="str">
        <f xml:space="preserve"> CONCATENATE(L20,E20,N20)</f>
        <v>SDO14_Spare DO</v>
      </c>
      <c r="P20" s="69"/>
      <c r="Q20" s="67"/>
      <c r="R20" s="67"/>
    </row>
    <row r="21" spans="2:18" ht="15.75">
      <c r="B21" s="116">
        <v>15</v>
      </c>
      <c r="C21" s="117" t="s">
        <v>164</v>
      </c>
      <c r="D21" s="113" t="s">
        <v>899</v>
      </c>
      <c r="E21" s="67" t="s">
        <v>110</v>
      </c>
      <c r="F21" s="68" t="s">
        <v>900</v>
      </c>
      <c r="G21" s="68" t="str">
        <f t="shared" si="0"/>
        <v>SDI15_Frame-2 Bag Bin-1 Door Switch-7/1</v>
      </c>
      <c r="H21" s="67" t="s">
        <v>140</v>
      </c>
      <c r="I21" s="69"/>
      <c r="J21" s="67" t="s">
        <v>882</v>
      </c>
      <c r="K21" s="116">
        <v>15</v>
      </c>
      <c r="L21" s="117" t="s">
        <v>166</v>
      </c>
      <c r="M21" s="67" t="s">
        <v>901</v>
      </c>
      <c r="N21" s="68" t="s">
        <v>135</v>
      </c>
      <c r="O21" s="68" t="str">
        <f xml:space="preserve"> CONCATENATE(L21,E21,N21)</f>
        <v>SDO15_Spare DO</v>
      </c>
      <c r="P21" s="69"/>
      <c r="Q21" s="67"/>
      <c r="R21" s="67"/>
    </row>
    <row r="22" spans="2:18" ht="16.5" thickBot="1">
      <c r="B22" s="118">
        <v>16</v>
      </c>
      <c r="C22" s="119" t="s">
        <v>167</v>
      </c>
      <c r="D22" s="113" t="s">
        <v>902</v>
      </c>
      <c r="E22" s="67" t="s">
        <v>110</v>
      </c>
      <c r="F22" s="68" t="s">
        <v>903</v>
      </c>
      <c r="G22" s="68" t="str">
        <f t="shared" si="0"/>
        <v>SDI16_Frame-2 Bag Bin-1 Door Switch-7/2</v>
      </c>
      <c r="H22" s="67" t="s">
        <v>140</v>
      </c>
      <c r="I22" s="69"/>
      <c r="J22" s="67" t="s">
        <v>886</v>
      </c>
      <c r="K22" s="118">
        <v>16</v>
      </c>
      <c r="L22" s="119" t="s">
        <v>169</v>
      </c>
      <c r="M22" s="67" t="s">
        <v>904</v>
      </c>
      <c r="N22" s="68" t="s">
        <v>135</v>
      </c>
      <c r="O22" s="148" t="str">
        <f xml:space="preserve"> CONCATENATE(L22,E22,N22)</f>
        <v>SDO16_Spare DO</v>
      </c>
      <c r="P22" s="69"/>
      <c r="Q22" s="112"/>
      <c r="R22" s="112"/>
    </row>
    <row r="23" spans="2:18" ht="15.75">
      <c r="B23" s="114">
        <v>17</v>
      </c>
      <c r="C23" s="115" t="s">
        <v>170</v>
      </c>
      <c r="D23" s="113" t="s">
        <v>905</v>
      </c>
      <c r="E23" s="67" t="s">
        <v>110</v>
      </c>
      <c r="F23" s="68" t="s">
        <v>906</v>
      </c>
      <c r="G23" s="68" t="str">
        <f t="shared" si="0"/>
        <v>SDI17_Frame-2 Bag Bin-2 Door Switch-8/1</v>
      </c>
      <c r="H23" s="67" t="s">
        <v>140</v>
      </c>
      <c r="I23" s="69"/>
      <c r="J23" s="120" t="s">
        <v>890</v>
      </c>
      <c r="K23" s="161"/>
      <c r="L23" s="161"/>
      <c r="M23" s="67"/>
      <c r="N23" s="68"/>
      <c r="O23" s="68"/>
      <c r="P23" s="69"/>
      <c r="Q23" s="67"/>
      <c r="R23" s="67"/>
    </row>
    <row r="24" spans="2:18" ht="15.75">
      <c r="B24" s="116">
        <v>18</v>
      </c>
      <c r="C24" s="117" t="s">
        <v>172</v>
      </c>
      <c r="D24" s="113" t="s">
        <v>907</v>
      </c>
      <c r="E24" s="67" t="s">
        <v>110</v>
      </c>
      <c r="F24" s="68" t="s">
        <v>908</v>
      </c>
      <c r="G24" s="68" t="str">
        <f t="shared" si="0"/>
        <v>SDI18_Frame-2 Bag Bin-2 Door Switch-8/2</v>
      </c>
      <c r="H24" s="67" t="s">
        <v>140</v>
      </c>
      <c r="I24" s="69"/>
      <c r="J24" s="120" t="s">
        <v>894</v>
      </c>
      <c r="K24" s="67"/>
      <c r="L24" s="67"/>
      <c r="M24" s="67"/>
      <c r="N24" s="68"/>
      <c r="O24" s="68"/>
      <c r="P24" s="69"/>
      <c r="Q24" s="67"/>
      <c r="R24" s="67"/>
    </row>
    <row r="25" spans="2:18" ht="15.75">
      <c r="B25" s="116">
        <v>19</v>
      </c>
      <c r="C25" s="117" t="s">
        <v>174</v>
      </c>
      <c r="D25" s="113" t="s">
        <v>909</v>
      </c>
      <c r="E25" s="67" t="s">
        <v>110</v>
      </c>
      <c r="F25" s="167" t="s">
        <v>978</v>
      </c>
      <c r="G25" s="68" t="str">
        <f t="shared" ref="G25:G29" si="3">CONCATENATE(C25,E25,F25)</f>
        <v>SDI19_Bag Bin Safety Cover Slide Position 01 FB</v>
      </c>
      <c r="H25" s="67"/>
      <c r="I25" s="69"/>
      <c r="J25" s="120"/>
      <c r="K25" s="67"/>
      <c r="L25" s="67"/>
      <c r="M25" s="67"/>
      <c r="N25" s="68"/>
      <c r="O25" s="68"/>
      <c r="P25" s="69"/>
      <c r="Q25" s="67"/>
      <c r="R25" s="67"/>
    </row>
    <row r="26" spans="2:18" ht="15.75">
      <c r="B26" s="116">
        <v>20</v>
      </c>
      <c r="C26" s="117" t="s">
        <v>175</v>
      </c>
      <c r="D26" s="113" t="s">
        <v>910</v>
      </c>
      <c r="E26" s="67" t="s">
        <v>110</v>
      </c>
      <c r="F26" s="167" t="s">
        <v>979</v>
      </c>
      <c r="G26" s="68" t="str">
        <f t="shared" si="3"/>
        <v>SDI20_Bag Bin Safety Cover Slide Position 02 FB</v>
      </c>
      <c r="H26" s="67"/>
      <c r="I26" s="69"/>
      <c r="J26" s="120"/>
      <c r="K26" s="67"/>
      <c r="L26" s="67"/>
      <c r="M26" s="67"/>
      <c r="N26" s="68"/>
      <c r="O26" s="68"/>
      <c r="P26" s="69"/>
      <c r="Q26" s="67"/>
      <c r="R26" s="67"/>
    </row>
    <row r="27" spans="2:18" ht="15.75">
      <c r="B27" s="116">
        <v>21</v>
      </c>
      <c r="C27" s="117" t="s">
        <v>176</v>
      </c>
      <c r="D27" s="113" t="s">
        <v>911</v>
      </c>
      <c r="E27" s="67" t="s">
        <v>110</v>
      </c>
      <c r="F27" s="68" t="s">
        <v>129</v>
      </c>
      <c r="G27" s="68" t="str">
        <f t="shared" si="3"/>
        <v>SDI21_Spare DI</v>
      </c>
      <c r="H27" s="67"/>
      <c r="I27" s="69"/>
      <c r="J27" s="120"/>
      <c r="K27" s="67"/>
      <c r="L27" s="67"/>
      <c r="M27" s="67"/>
      <c r="N27" s="68"/>
      <c r="O27" s="68"/>
      <c r="P27" s="69"/>
      <c r="Q27" s="67"/>
      <c r="R27" s="67"/>
    </row>
    <row r="28" spans="2:18" ht="15.75">
      <c r="B28" s="116">
        <v>22</v>
      </c>
      <c r="C28" s="117" t="s">
        <v>177</v>
      </c>
      <c r="D28" s="113" t="s">
        <v>912</v>
      </c>
      <c r="E28" s="67" t="s">
        <v>110</v>
      </c>
      <c r="F28" s="68" t="s">
        <v>129</v>
      </c>
      <c r="G28" s="68" t="str">
        <f t="shared" si="3"/>
        <v>SDI22_Spare DI</v>
      </c>
      <c r="H28" s="67"/>
      <c r="I28" s="69"/>
      <c r="J28" s="120"/>
      <c r="K28" s="67"/>
      <c r="L28" s="67"/>
      <c r="M28" s="67"/>
      <c r="N28" s="68"/>
      <c r="O28" s="68"/>
      <c r="P28" s="69"/>
      <c r="Q28" s="67"/>
      <c r="R28" s="67"/>
    </row>
    <row r="29" spans="2:18" ht="15.75">
      <c r="B29" s="116">
        <v>23</v>
      </c>
      <c r="C29" s="117" t="s">
        <v>178</v>
      </c>
      <c r="D29" s="113" t="s">
        <v>913</v>
      </c>
      <c r="E29" s="67" t="s">
        <v>110</v>
      </c>
      <c r="F29" s="68" t="s">
        <v>129</v>
      </c>
      <c r="G29" s="68" t="str">
        <f t="shared" si="3"/>
        <v>SDI23_Spare DI</v>
      </c>
      <c r="H29" s="67"/>
      <c r="I29" s="69"/>
      <c r="J29" s="120"/>
      <c r="K29" s="67"/>
      <c r="L29" s="67"/>
      <c r="M29" s="67"/>
      <c r="N29" s="68"/>
      <c r="O29" s="68"/>
      <c r="P29" s="69"/>
      <c r="Q29" s="67"/>
      <c r="R29" s="67"/>
    </row>
    <row r="30" spans="2:18" ht="16.5" thickBot="1">
      <c r="B30" s="118">
        <v>24</v>
      </c>
      <c r="C30" s="119" t="s">
        <v>179</v>
      </c>
      <c r="D30" s="113" t="s">
        <v>914</v>
      </c>
      <c r="E30" s="67" t="s">
        <v>110</v>
      </c>
      <c r="F30" s="68" t="s">
        <v>129</v>
      </c>
      <c r="G30" s="68" t="str">
        <f>CONCATENATE(C30,E30,F30)</f>
        <v>SDI24_Spare DI</v>
      </c>
      <c r="H30" s="67"/>
      <c r="I30" s="69"/>
      <c r="J30" s="120"/>
      <c r="K30" s="67"/>
      <c r="L30" s="67"/>
      <c r="M30" s="67"/>
      <c r="N30" s="68"/>
      <c r="O30" s="68"/>
      <c r="P30" s="69"/>
      <c r="Q30" s="67"/>
      <c r="R30" s="67"/>
    </row>
    <row r="31" spans="2:18" ht="15.75">
      <c r="B31" s="128">
        <v>1</v>
      </c>
      <c r="C31" s="129" t="s">
        <v>206</v>
      </c>
      <c r="D31" s="130" t="s">
        <v>915</v>
      </c>
      <c r="E31" s="150" t="s">
        <v>110</v>
      </c>
      <c r="F31" s="96" t="s">
        <v>318</v>
      </c>
      <c r="G31" s="185" t="str">
        <f>CONCATENATE(C31,E31,F31)</f>
        <v>DI01_Tray Insertion Servo Slide Trip Healthy</v>
      </c>
      <c r="H31" s="150" t="s">
        <v>277</v>
      </c>
      <c r="I31" s="70" t="s">
        <v>209</v>
      </c>
      <c r="J31" s="151"/>
      <c r="K31" s="15">
        <v>1</v>
      </c>
      <c r="L31" s="15" t="s">
        <v>211</v>
      </c>
      <c r="M31" s="130" t="s">
        <v>916</v>
      </c>
      <c r="N31" s="96" t="s">
        <v>257</v>
      </c>
      <c r="O31" s="149" t="str">
        <f t="shared" ref="O31:O38" si="4" xml:space="preserve"> CONCATENATE(L31,E31,N31)</f>
        <v>DO01_Vacuum Pump Enable</v>
      </c>
      <c r="P31" s="70" t="s">
        <v>262</v>
      </c>
      <c r="Q31" s="150" t="s">
        <v>209</v>
      </c>
      <c r="R31" s="150"/>
    </row>
    <row r="32" spans="2:18" ht="15.75">
      <c r="B32" s="108">
        <v>2</v>
      </c>
      <c r="C32" s="109" t="s">
        <v>216</v>
      </c>
      <c r="D32" s="130" t="s">
        <v>917</v>
      </c>
      <c r="E32" s="15" t="s">
        <v>110</v>
      </c>
      <c r="F32" s="96" t="s">
        <v>322</v>
      </c>
      <c r="G32" s="184" t="str">
        <f>CONCATENATE(C32,E32,F32)</f>
        <v>DI02_Sealing Conveyor Trip Healthy</v>
      </c>
      <c r="H32" s="150" t="s">
        <v>277</v>
      </c>
      <c r="I32" s="26" t="s">
        <v>209</v>
      </c>
      <c r="J32" s="121"/>
      <c r="K32" s="15">
        <v>2</v>
      </c>
      <c r="L32" s="15" t="s">
        <v>219</v>
      </c>
      <c r="M32" s="130" t="s">
        <v>918</v>
      </c>
      <c r="N32" s="50" t="s">
        <v>919</v>
      </c>
      <c r="O32" s="50" t="str">
        <f t="shared" si="4"/>
        <v>DO02_Bag Sealer Vacuum Pump Enable</v>
      </c>
      <c r="P32" s="70" t="s">
        <v>262</v>
      </c>
      <c r="Q32" s="15" t="s">
        <v>209</v>
      </c>
      <c r="R32" s="15"/>
    </row>
    <row r="33" spans="2:18" ht="15.75">
      <c r="B33" s="108">
        <v>3</v>
      </c>
      <c r="C33" s="109" t="s">
        <v>223</v>
      </c>
      <c r="D33" s="130" t="s">
        <v>920</v>
      </c>
      <c r="E33" s="15" t="s">
        <v>110</v>
      </c>
      <c r="F33" s="96" t="s">
        <v>325</v>
      </c>
      <c r="G33" s="184" t="str">
        <f t="shared" ref="G33:G36" si="5">CONCATENATE(C33,E33,F33)</f>
        <v>DI03_Vacuum Pump Trip Healthy</v>
      </c>
      <c r="H33" s="150" t="s">
        <v>277</v>
      </c>
      <c r="I33" s="26" t="s">
        <v>209</v>
      </c>
      <c r="J33" s="121"/>
      <c r="K33" s="15">
        <v>3</v>
      </c>
      <c r="L33" s="15" t="s">
        <v>226</v>
      </c>
      <c r="M33" s="130" t="s">
        <v>921</v>
      </c>
      <c r="N33" s="96" t="s">
        <v>922</v>
      </c>
      <c r="O33" s="50" t="str">
        <f t="shared" si="4"/>
        <v>DO03_Bag Heat Sealer Enable</v>
      </c>
      <c r="P33" s="26" t="s">
        <v>923</v>
      </c>
      <c r="Q33" s="15" t="s">
        <v>209</v>
      </c>
      <c r="R33" s="15"/>
    </row>
    <row r="34" spans="2:18" ht="15.75">
      <c r="B34" s="108">
        <v>4</v>
      </c>
      <c r="C34" s="109" t="s">
        <v>230</v>
      </c>
      <c r="D34" s="130" t="s">
        <v>924</v>
      </c>
      <c r="E34" s="15" t="s">
        <v>110</v>
      </c>
      <c r="F34" s="50" t="s">
        <v>925</v>
      </c>
      <c r="G34" s="184" t="str">
        <f t="shared" si="5"/>
        <v>DI04_Bag Sealer Vacuum Pump Trip Healthy</v>
      </c>
      <c r="H34" s="150" t="s">
        <v>277</v>
      </c>
      <c r="I34" s="26" t="s">
        <v>209</v>
      </c>
      <c r="J34" s="121"/>
      <c r="K34" s="15">
        <v>4</v>
      </c>
      <c r="L34" s="15" t="s">
        <v>233</v>
      </c>
      <c r="M34" s="130" t="s">
        <v>926</v>
      </c>
      <c r="N34" s="50" t="s">
        <v>135</v>
      </c>
      <c r="O34" s="50" t="str">
        <f t="shared" si="4"/>
        <v>DO04_Spare DO</v>
      </c>
      <c r="P34" s="26"/>
      <c r="Q34" s="15" t="s">
        <v>209</v>
      </c>
      <c r="R34" s="15"/>
    </row>
    <row r="35" spans="2:18" ht="15.75">
      <c r="B35" s="108">
        <v>5</v>
      </c>
      <c r="C35" s="109" t="s">
        <v>237</v>
      </c>
      <c r="D35" s="130" t="s">
        <v>927</v>
      </c>
      <c r="E35" s="15" t="s">
        <v>110</v>
      </c>
      <c r="F35" s="96" t="s">
        <v>328</v>
      </c>
      <c r="G35" s="50" t="str">
        <f t="shared" si="5"/>
        <v>DI05_Bag Heat Sealer Trip Healthy</v>
      </c>
      <c r="H35" s="15" t="s">
        <v>928</v>
      </c>
      <c r="I35" s="26" t="s">
        <v>209</v>
      </c>
      <c r="J35" s="121"/>
      <c r="K35" s="15">
        <v>5</v>
      </c>
      <c r="L35" s="15" t="s">
        <v>239</v>
      </c>
      <c r="M35" s="130" t="s">
        <v>929</v>
      </c>
      <c r="N35" s="50" t="s">
        <v>135</v>
      </c>
      <c r="O35" s="50" t="str">
        <f t="shared" si="4"/>
        <v>DO05_Spare DO</v>
      </c>
      <c r="P35" s="26"/>
      <c r="Q35" s="15" t="s">
        <v>209</v>
      </c>
      <c r="R35" s="15"/>
    </row>
    <row r="36" spans="2:18" ht="15.75">
      <c r="B36" s="108">
        <v>6</v>
      </c>
      <c r="C36" s="109" t="s">
        <v>243</v>
      </c>
      <c r="D36" s="130" t="s">
        <v>930</v>
      </c>
      <c r="E36" s="15" t="s">
        <v>110</v>
      </c>
      <c r="F36" s="6" t="s">
        <v>129</v>
      </c>
      <c r="G36" s="50" t="str">
        <f t="shared" si="5"/>
        <v>DI06_Spare DI</v>
      </c>
      <c r="H36" s="15"/>
      <c r="I36" s="26" t="s">
        <v>209</v>
      </c>
      <c r="J36" s="121"/>
      <c r="K36" s="15">
        <v>6</v>
      </c>
      <c r="L36" s="15" t="s">
        <v>244</v>
      </c>
      <c r="M36" s="130" t="s">
        <v>931</v>
      </c>
      <c r="N36" s="50" t="s">
        <v>135</v>
      </c>
      <c r="O36" s="50" t="str">
        <f t="shared" si="4"/>
        <v>DO06_Spare DO</v>
      </c>
      <c r="P36" s="26"/>
      <c r="Q36" s="15" t="s">
        <v>209</v>
      </c>
      <c r="R36" s="15"/>
    </row>
    <row r="37" spans="2:18" ht="15.75">
      <c r="B37" s="108">
        <v>7</v>
      </c>
      <c r="C37" s="109" t="s">
        <v>247</v>
      </c>
      <c r="D37" s="130" t="s">
        <v>932</v>
      </c>
      <c r="E37" s="15" t="s">
        <v>110</v>
      </c>
      <c r="F37" s="50" t="s">
        <v>129</v>
      </c>
      <c r="G37" s="50" t="str">
        <f t="shared" ref="G37:G44" si="6">CONCATENATE(C37,E37,F37)</f>
        <v>DI07_Spare DI</v>
      </c>
      <c r="H37" s="15"/>
      <c r="I37" s="26" t="s">
        <v>209</v>
      </c>
      <c r="J37" s="121"/>
      <c r="K37" s="15">
        <v>7</v>
      </c>
      <c r="L37" s="15" t="s">
        <v>248</v>
      </c>
      <c r="M37" s="130" t="s">
        <v>933</v>
      </c>
      <c r="N37" s="50" t="s">
        <v>135</v>
      </c>
      <c r="O37" s="50" t="str">
        <f t="shared" si="4"/>
        <v>DO07_Spare DO</v>
      </c>
      <c r="P37" s="26"/>
      <c r="Q37" s="15" t="s">
        <v>209</v>
      </c>
      <c r="R37" s="15"/>
    </row>
    <row r="38" spans="2:18" ht="16.5" thickBot="1">
      <c r="B38" s="110">
        <v>8</v>
      </c>
      <c r="C38" s="111" t="s">
        <v>251</v>
      </c>
      <c r="D38" s="130" t="s">
        <v>934</v>
      </c>
      <c r="E38" s="15" t="s">
        <v>110</v>
      </c>
      <c r="F38" s="50" t="s">
        <v>129</v>
      </c>
      <c r="G38" s="50" t="str">
        <f t="shared" si="6"/>
        <v>DI08_Spare DI</v>
      </c>
      <c r="H38" s="15"/>
      <c r="I38" s="26" t="s">
        <v>209</v>
      </c>
      <c r="J38" s="121"/>
      <c r="K38" s="15">
        <v>8</v>
      </c>
      <c r="L38" s="15" t="s">
        <v>255</v>
      </c>
      <c r="M38" s="130" t="s">
        <v>935</v>
      </c>
      <c r="N38" s="50" t="s">
        <v>135</v>
      </c>
      <c r="O38" s="50" t="str">
        <f t="shared" si="4"/>
        <v>DO08_Spare DO</v>
      </c>
      <c r="P38" s="26"/>
      <c r="Q38" s="15" t="s">
        <v>209</v>
      </c>
      <c r="R38" s="15"/>
    </row>
    <row r="39" spans="2:18" ht="15.75">
      <c r="B39" s="106">
        <v>9</v>
      </c>
      <c r="C39" s="107" t="s">
        <v>258</v>
      </c>
      <c r="D39" s="104" t="s">
        <v>936</v>
      </c>
      <c r="E39" s="15" t="s">
        <v>110</v>
      </c>
      <c r="F39" s="96" t="s">
        <v>129</v>
      </c>
      <c r="G39" s="50" t="str">
        <f t="shared" si="6"/>
        <v>DI09_Spare DI</v>
      </c>
      <c r="H39" s="15"/>
      <c r="I39" s="26" t="s">
        <v>209</v>
      </c>
      <c r="J39" s="121"/>
      <c r="K39" s="15"/>
      <c r="L39" s="15"/>
      <c r="M39" s="130"/>
      <c r="N39" s="50"/>
      <c r="O39" s="50"/>
      <c r="P39" s="26"/>
      <c r="Q39" s="15"/>
      <c r="R39" s="15"/>
    </row>
    <row r="40" spans="2:18" ht="15.75">
      <c r="B40" s="108">
        <v>10</v>
      </c>
      <c r="C40" s="109" t="s">
        <v>264</v>
      </c>
      <c r="D40" s="104" t="s">
        <v>937</v>
      </c>
      <c r="E40" s="15" t="s">
        <v>110</v>
      </c>
      <c r="F40" s="96" t="s">
        <v>129</v>
      </c>
      <c r="G40" s="50" t="str">
        <f t="shared" si="6"/>
        <v>DI10_Spare DI</v>
      </c>
      <c r="H40" s="15"/>
      <c r="I40" s="26" t="s">
        <v>209</v>
      </c>
      <c r="J40" s="121"/>
      <c r="K40" s="15"/>
      <c r="L40" s="15"/>
      <c r="M40" s="130"/>
      <c r="N40" s="50"/>
      <c r="O40" s="50"/>
      <c r="P40" s="26"/>
      <c r="Q40" s="15"/>
      <c r="R40" s="15"/>
    </row>
    <row r="41" spans="2:18" ht="15.75">
      <c r="B41" s="108">
        <v>11</v>
      </c>
      <c r="C41" s="109" t="s">
        <v>270</v>
      </c>
      <c r="D41" s="104" t="s">
        <v>938</v>
      </c>
      <c r="E41" s="15" t="s">
        <v>110</v>
      </c>
      <c r="F41" s="96" t="s">
        <v>129</v>
      </c>
      <c r="G41" s="50" t="str">
        <f t="shared" si="6"/>
        <v>DI11_Spare DI</v>
      </c>
      <c r="H41" s="15"/>
      <c r="I41" s="26" t="s">
        <v>209</v>
      </c>
      <c r="J41" s="121"/>
      <c r="K41" s="15"/>
      <c r="L41" s="15"/>
      <c r="M41" s="130"/>
      <c r="N41" s="50"/>
      <c r="O41" s="50"/>
      <c r="P41" s="26"/>
      <c r="Q41" s="15"/>
      <c r="R41" s="15"/>
    </row>
    <row r="42" spans="2:18" ht="15.75">
      <c r="B42" s="108">
        <v>12</v>
      </c>
      <c r="C42" s="109" t="s">
        <v>275</v>
      </c>
      <c r="D42" s="104" t="s">
        <v>939</v>
      </c>
      <c r="E42" s="15" t="s">
        <v>110</v>
      </c>
      <c r="F42" s="96" t="s">
        <v>129</v>
      </c>
      <c r="G42" s="50" t="str">
        <f t="shared" si="6"/>
        <v>DI12_Spare DI</v>
      </c>
      <c r="H42" s="15"/>
      <c r="I42" s="26" t="s">
        <v>209</v>
      </c>
      <c r="J42" s="121"/>
      <c r="K42" s="15"/>
      <c r="L42" s="15"/>
      <c r="M42" s="130"/>
      <c r="N42" s="50"/>
      <c r="O42" s="50"/>
      <c r="P42" s="26"/>
      <c r="Q42" s="15"/>
      <c r="R42" s="15"/>
    </row>
    <row r="43" spans="2:18" ht="15.75">
      <c r="B43" s="108">
        <v>13</v>
      </c>
      <c r="C43" s="109" t="s">
        <v>281</v>
      </c>
      <c r="D43" s="104" t="s">
        <v>940</v>
      </c>
      <c r="E43" s="15" t="s">
        <v>110</v>
      </c>
      <c r="F43" s="96" t="s">
        <v>129</v>
      </c>
      <c r="G43" s="50" t="str">
        <f t="shared" si="6"/>
        <v>DI13_Spare DI</v>
      </c>
      <c r="H43" s="15"/>
      <c r="I43" s="26" t="s">
        <v>209</v>
      </c>
      <c r="J43" s="121"/>
      <c r="K43" s="15"/>
      <c r="L43" s="15"/>
      <c r="M43" s="130"/>
      <c r="N43" s="50"/>
      <c r="O43" s="50"/>
      <c r="P43" s="26"/>
      <c r="Q43" s="15"/>
      <c r="R43" s="15"/>
    </row>
    <row r="44" spans="2:18" ht="15.75">
      <c r="B44" s="108">
        <v>14</v>
      </c>
      <c r="C44" s="109" t="s">
        <v>286</v>
      </c>
      <c r="D44" s="104" t="s">
        <v>941</v>
      </c>
      <c r="E44" s="15" t="s">
        <v>110</v>
      </c>
      <c r="F44" s="96" t="s">
        <v>129</v>
      </c>
      <c r="G44" s="50" t="str">
        <f t="shared" si="6"/>
        <v>DI14_Spare DI</v>
      </c>
      <c r="H44" s="15"/>
      <c r="I44" s="26" t="s">
        <v>209</v>
      </c>
      <c r="J44" s="122"/>
      <c r="K44" s="15"/>
      <c r="L44" s="15"/>
      <c r="M44" s="130"/>
      <c r="N44" s="50"/>
      <c r="O44" s="50"/>
      <c r="P44" s="26"/>
      <c r="Q44" s="15"/>
      <c r="R44" s="15"/>
    </row>
    <row r="45" spans="2:18" ht="15.75">
      <c r="B45" s="108">
        <v>15</v>
      </c>
      <c r="C45" s="109" t="s">
        <v>291</v>
      </c>
      <c r="D45" s="104" t="s">
        <v>942</v>
      </c>
      <c r="E45" s="15" t="s">
        <v>110</v>
      </c>
      <c r="F45" s="96" t="s">
        <v>129</v>
      </c>
      <c r="G45" s="50" t="str">
        <f t="shared" ref="G45:G46" si="7">CONCATENATE(C45,E45,F45)</f>
        <v>DI15_Spare DI</v>
      </c>
      <c r="H45" s="15"/>
      <c r="I45" s="26" t="s">
        <v>209</v>
      </c>
      <c r="J45" s="122"/>
      <c r="K45" s="15"/>
      <c r="L45" s="15"/>
      <c r="M45" s="130"/>
      <c r="N45" s="50"/>
      <c r="O45" s="50"/>
      <c r="P45" s="26"/>
      <c r="Q45" s="15"/>
      <c r="R45" s="15"/>
    </row>
    <row r="46" spans="2:18" ht="16.5" thickBot="1">
      <c r="B46" s="110">
        <v>16</v>
      </c>
      <c r="C46" s="111" t="s">
        <v>295</v>
      </c>
      <c r="D46" s="104" t="s">
        <v>943</v>
      </c>
      <c r="E46" s="15" t="s">
        <v>110</v>
      </c>
      <c r="F46" s="96" t="s">
        <v>129</v>
      </c>
      <c r="G46" s="50" t="str">
        <f t="shared" si="7"/>
        <v>DI16_Spare DI</v>
      </c>
      <c r="H46" s="15"/>
      <c r="I46" s="26" t="s">
        <v>209</v>
      </c>
      <c r="J46" s="122"/>
      <c r="K46" s="15"/>
      <c r="L46" s="15"/>
      <c r="M46" s="130"/>
      <c r="N46" s="50"/>
      <c r="O46" s="50"/>
      <c r="P46" s="26"/>
      <c r="Q46" s="15"/>
      <c r="R46" s="15"/>
    </row>
    <row r="47" spans="2:18" ht="15.75">
      <c r="B47" s="133" t="s">
        <v>97</v>
      </c>
      <c r="C47" s="134"/>
      <c r="D47" s="135" t="s">
        <v>98</v>
      </c>
      <c r="E47" s="135"/>
      <c r="F47" s="136" t="s">
        <v>100</v>
      </c>
      <c r="G47" s="136"/>
      <c r="H47" s="135" t="s">
        <v>18</v>
      </c>
      <c r="I47" s="137" t="s">
        <v>101</v>
      </c>
      <c r="J47" s="135" t="s">
        <v>102</v>
      </c>
      <c r="K47" s="152" t="s">
        <v>97</v>
      </c>
      <c r="L47" s="152"/>
      <c r="M47" s="135" t="s">
        <v>98</v>
      </c>
      <c r="N47" s="138" t="s">
        <v>103</v>
      </c>
      <c r="O47" s="138"/>
      <c r="P47" s="137" t="s">
        <v>18</v>
      </c>
      <c r="Q47" s="137" t="s">
        <v>101</v>
      </c>
      <c r="R47" s="156" t="s">
        <v>102</v>
      </c>
    </row>
    <row r="48" spans="2:18" ht="16.5" thickBot="1">
      <c r="B48" s="61"/>
      <c r="C48" s="62"/>
      <c r="D48" s="63"/>
      <c r="E48" s="63"/>
      <c r="F48" s="60" t="s">
        <v>840</v>
      </c>
      <c r="G48" s="60"/>
      <c r="H48" s="64"/>
      <c r="I48" s="64"/>
      <c r="J48" s="64"/>
      <c r="K48" s="65"/>
      <c r="L48" s="65"/>
      <c r="M48" s="66"/>
      <c r="N48" s="60" t="s">
        <v>841</v>
      </c>
      <c r="O48" s="66"/>
      <c r="P48" s="64"/>
      <c r="Q48" s="60"/>
      <c r="R48" s="157"/>
    </row>
    <row r="49" spans="1:19" ht="16.5" thickBot="1">
      <c r="B49" s="106">
        <v>1</v>
      </c>
      <c r="C49" s="107" t="s">
        <v>1675</v>
      </c>
      <c r="D49" s="104" t="s">
        <v>206</v>
      </c>
      <c r="E49" s="15" t="s">
        <v>110</v>
      </c>
      <c r="F49" s="96" t="s">
        <v>630</v>
      </c>
      <c r="G49" s="184" t="str">
        <f>CONCATENATE(C49,E49,D49,E49,F49)</f>
        <v>RM09_DI01_Tray Insertion Servo Slide Pusher UP FB</v>
      </c>
      <c r="H49" s="15" t="s">
        <v>470</v>
      </c>
      <c r="I49" s="26" t="s">
        <v>209</v>
      </c>
      <c r="J49" s="15" t="s">
        <v>679</v>
      </c>
      <c r="K49" s="15">
        <v>1</v>
      </c>
      <c r="L49" s="129" t="s">
        <v>487</v>
      </c>
      <c r="M49" s="130" t="s">
        <v>488</v>
      </c>
      <c r="N49" s="30" t="s">
        <v>489</v>
      </c>
      <c r="O49" s="50" t="str">
        <f xml:space="preserve"> CONCATENATE(L49,'Frame-1 IO'!E109,N49)</f>
        <v>VB02.DO1_Bag Transfer Robot Vacuum  SOV</v>
      </c>
      <c r="P49" s="15" t="s">
        <v>332</v>
      </c>
      <c r="Q49" s="15" t="s">
        <v>209</v>
      </c>
      <c r="R49" s="15" t="s">
        <v>490</v>
      </c>
      <c r="S49" s="131" t="s">
        <v>483</v>
      </c>
    </row>
    <row r="50" spans="1:19" ht="16.5" thickBot="1">
      <c r="B50" s="108">
        <v>2</v>
      </c>
      <c r="C50" s="107" t="s">
        <v>1675</v>
      </c>
      <c r="D50" s="104" t="s">
        <v>216</v>
      </c>
      <c r="E50" s="15" t="s">
        <v>110</v>
      </c>
      <c r="F50" s="96" t="s">
        <v>632</v>
      </c>
      <c r="G50" s="184" t="str">
        <f t="shared" ref="G50:G84" si="8">CONCATENATE(C50,E50,D50,E50,F50)</f>
        <v>RM09_DI02_Tray Insertion Servo Slide Pusher DOWN FB</v>
      </c>
      <c r="H50" s="15" t="s">
        <v>470</v>
      </c>
      <c r="I50" s="26" t="s">
        <v>209</v>
      </c>
      <c r="J50" s="15" t="s">
        <v>682</v>
      </c>
      <c r="K50" s="15">
        <v>2</v>
      </c>
      <c r="L50" s="109" t="s">
        <v>491</v>
      </c>
      <c r="M50" s="104" t="s">
        <v>492</v>
      </c>
      <c r="N50" s="50" t="s">
        <v>493</v>
      </c>
      <c r="O50" s="50" t="str">
        <f xml:space="preserve"> CONCATENATE(L50,'Frame-1 IO'!E110,N50)</f>
        <v>VB02.DO2_Bag Opening Swing Arm-1 In SOV</v>
      </c>
      <c r="P50" s="15" t="s">
        <v>332</v>
      </c>
      <c r="Q50" s="15" t="s">
        <v>209</v>
      </c>
      <c r="R50" s="15" t="s">
        <v>494</v>
      </c>
      <c r="S50" s="131" t="s">
        <v>334</v>
      </c>
    </row>
    <row r="51" spans="1:19" ht="16.5" thickBot="1">
      <c r="B51" s="108">
        <v>3</v>
      </c>
      <c r="C51" s="107" t="s">
        <v>1675</v>
      </c>
      <c r="D51" s="104" t="s">
        <v>223</v>
      </c>
      <c r="E51" s="15" t="s">
        <v>110</v>
      </c>
      <c r="F51" s="96" t="s">
        <v>634</v>
      </c>
      <c r="G51" s="184" t="str">
        <f t="shared" si="8"/>
        <v>RM09_DI03_Tray Insertion Servo Tray Stopper UP FB</v>
      </c>
      <c r="H51" s="15" t="s">
        <v>470</v>
      </c>
      <c r="I51" s="26" t="s">
        <v>209</v>
      </c>
      <c r="J51" s="15" t="s">
        <v>944</v>
      </c>
      <c r="K51" s="15">
        <v>3</v>
      </c>
      <c r="L51" s="109" t="s">
        <v>497</v>
      </c>
      <c r="M51" s="104" t="s">
        <v>498</v>
      </c>
      <c r="N51" s="50" t="s">
        <v>499</v>
      </c>
      <c r="O51" s="50" t="str">
        <f xml:space="preserve"> CONCATENATE(L51,'Frame-1 IO'!E111,N51)</f>
        <v>VB02.DO3_Bag Opening Swing Arm-1 Out SOV</v>
      </c>
      <c r="P51" s="15" t="s">
        <v>332</v>
      </c>
      <c r="Q51" s="15" t="s">
        <v>209</v>
      </c>
      <c r="R51" s="15" t="s">
        <v>500</v>
      </c>
      <c r="S51" s="131" t="s">
        <v>334</v>
      </c>
    </row>
    <row r="52" spans="1:19" ht="16.5" thickBot="1">
      <c r="B52" s="108">
        <v>4</v>
      </c>
      <c r="C52" s="107" t="s">
        <v>1675</v>
      </c>
      <c r="D52" s="104" t="s">
        <v>230</v>
      </c>
      <c r="E52" s="15" t="s">
        <v>110</v>
      </c>
      <c r="F52" s="96" t="s">
        <v>636</v>
      </c>
      <c r="G52" s="184" t="str">
        <f t="shared" si="8"/>
        <v>RM09_DI04_Tray Insertion Servo Tray Stopper DOWN FB</v>
      </c>
      <c r="H52" s="15" t="s">
        <v>470</v>
      </c>
      <c r="I52" s="26" t="s">
        <v>209</v>
      </c>
      <c r="J52" s="15" t="s">
        <v>945</v>
      </c>
      <c r="K52" s="15">
        <v>4</v>
      </c>
      <c r="L52" s="109" t="s">
        <v>503</v>
      </c>
      <c r="M52" s="104" t="s">
        <v>504</v>
      </c>
      <c r="N52" s="50" t="s">
        <v>505</v>
      </c>
      <c r="O52" s="50" t="str">
        <f xml:space="preserve"> CONCATENATE(L52,'Frame-1 IO'!E112,N52)</f>
        <v>VB02.DO4_Bag Opening Swing Arm-2 In SOV</v>
      </c>
      <c r="P52" s="15" t="s">
        <v>332</v>
      </c>
      <c r="Q52" s="15" t="s">
        <v>209</v>
      </c>
      <c r="R52" s="15" t="s">
        <v>506</v>
      </c>
      <c r="S52" s="131" t="s">
        <v>334</v>
      </c>
    </row>
    <row r="53" spans="1:19" ht="16.5" thickBot="1">
      <c r="A53" s="6" t="s">
        <v>842</v>
      </c>
      <c r="B53" s="108">
        <v>5</v>
      </c>
      <c r="C53" s="107" t="s">
        <v>1675</v>
      </c>
      <c r="D53" s="104" t="s">
        <v>237</v>
      </c>
      <c r="E53" s="15" t="s">
        <v>110</v>
      </c>
      <c r="F53" s="96" t="s">
        <v>645</v>
      </c>
      <c r="G53" s="184" t="str">
        <f t="shared" si="8"/>
        <v>RM09_DI05_Bag Opening Swing Arm-1 In FB</v>
      </c>
      <c r="H53" s="15" t="s">
        <v>470</v>
      </c>
      <c r="I53" s="26" t="s">
        <v>209</v>
      </c>
      <c r="J53" s="15" t="s">
        <v>946</v>
      </c>
      <c r="K53" s="15">
        <v>5</v>
      </c>
      <c r="L53" s="109" t="s">
        <v>509</v>
      </c>
      <c r="M53" s="104" t="s">
        <v>510</v>
      </c>
      <c r="N53" s="50" t="s">
        <v>511</v>
      </c>
      <c r="O53" s="50" t="str">
        <f xml:space="preserve"> CONCATENATE(L53,'Frame-1 IO'!E113,N53)</f>
        <v>VB02.DO5_Bag Opening Swing Arm-2 Out SOV</v>
      </c>
      <c r="P53" s="15" t="s">
        <v>332</v>
      </c>
      <c r="Q53" s="15" t="s">
        <v>209</v>
      </c>
      <c r="R53" s="15" t="s">
        <v>512</v>
      </c>
      <c r="S53" s="131" t="s">
        <v>334</v>
      </c>
    </row>
    <row r="54" spans="1:19" ht="16.5" thickBot="1">
      <c r="A54" s="6" t="s">
        <v>842</v>
      </c>
      <c r="B54" s="108">
        <v>6</v>
      </c>
      <c r="C54" s="107" t="s">
        <v>1675</v>
      </c>
      <c r="D54" s="104" t="s">
        <v>243</v>
      </c>
      <c r="E54" s="15" t="s">
        <v>110</v>
      </c>
      <c r="F54" s="96" t="s">
        <v>647</v>
      </c>
      <c r="G54" s="184" t="str">
        <f t="shared" si="8"/>
        <v>RM09_DI06_Bag Opening Swing Arm-1 Out FB</v>
      </c>
      <c r="H54" s="15" t="s">
        <v>470</v>
      </c>
      <c r="I54" s="26" t="s">
        <v>209</v>
      </c>
      <c r="J54" s="15" t="s">
        <v>947</v>
      </c>
      <c r="K54" s="15">
        <v>6</v>
      </c>
      <c r="L54" s="109" t="s">
        <v>515</v>
      </c>
      <c r="M54" s="104" t="s">
        <v>516</v>
      </c>
      <c r="N54" s="50" t="s">
        <v>517</v>
      </c>
      <c r="O54" s="50" t="str">
        <f xml:space="preserve"> CONCATENATE(L54,'Frame-1 IO'!E114,N54)</f>
        <v>VB02.DO6_Bag Opening Vacuum Cup Up SOV</v>
      </c>
      <c r="P54" s="15" t="s">
        <v>332</v>
      </c>
      <c r="Q54" s="15" t="s">
        <v>209</v>
      </c>
      <c r="R54" s="15" t="s">
        <v>518</v>
      </c>
      <c r="S54" s="131" t="s">
        <v>334</v>
      </c>
    </row>
    <row r="55" spans="1:19" ht="16.5" thickBot="1">
      <c r="A55" s="6" t="s">
        <v>842</v>
      </c>
      <c r="B55" s="108">
        <v>7</v>
      </c>
      <c r="C55" s="107" t="s">
        <v>1675</v>
      </c>
      <c r="D55" s="104" t="s">
        <v>247</v>
      </c>
      <c r="E55" s="15" t="s">
        <v>110</v>
      </c>
      <c r="F55" s="96" t="s">
        <v>648</v>
      </c>
      <c r="G55" s="184" t="str">
        <f t="shared" si="8"/>
        <v>RM09_DI07_Bag Opening Swing Arm-2 In FB</v>
      </c>
      <c r="H55" s="15" t="s">
        <v>470</v>
      </c>
      <c r="I55" s="26" t="s">
        <v>209</v>
      </c>
      <c r="J55" s="15" t="s">
        <v>948</v>
      </c>
      <c r="K55" s="15">
        <v>7</v>
      </c>
      <c r="L55" s="109" t="s">
        <v>520</v>
      </c>
      <c r="M55" s="104" t="s">
        <v>521</v>
      </c>
      <c r="N55" s="50" t="s">
        <v>522</v>
      </c>
      <c r="O55" s="50" t="str">
        <f xml:space="preserve"> CONCATENATE(L55,'Frame-1 IO'!E115,N55)</f>
        <v>VB02.DO7_Bag Opening Vacuum Cup Dn SOV</v>
      </c>
      <c r="P55" s="15" t="s">
        <v>332</v>
      </c>
      <c r="Q55" s="15" t="s">
        <v>209</v>
      </c>
      <c r="R55" s="15" t="s">
        <v>523</v>
      </c>
      <c r="S55" s="131" t="s">
        <v>334</v>
      </c>
    </row>
    <row r="56" spans="1:19" ht="16.5" thickBot="1">
      <c r="A56" s="6" t="s">
        <v>842</v>
      </c>
      <c r="B56" s="108">
        <v>8</v>
      </c>
      <c r="C56" s="107" t="s">
        <v>1675</v>
      </c>
      <c r="D56" s="104" t="s">
        <v>251</v>
      </c>
      <c r="E56" s="15" t="s">
        <v>110</v>
      </c>
      <c r="F56" s="96" t="s">
        <v>650</v>
      </c>
      <c r="G56" s="184" t="str">
        <f t="shared" si="8"/>
        <v>RM09_DI08_Bag Opening Swing Arm-2 Out FB</v>
      </c>
      <c r="H56" s="15" t="s">
        <v>470</v>
      </c>
      <c r="I56" s="26" t="s">
        <v>209</v>
      </c>
      <c r="J56" s="15" t="s">
        <v>949</v>
      </c>
      <c r="K56" s="15">
        <v>8</v>
      </c>
      <c r="L56" s="109" t="s">
        <v>525</v>
      </c>
      <c r="M56" s="104" t="s">
        <v>526</v>
      </c>
      <c r="N56" s="96" t="s">
        <v>527</v>
      </c>
      <c r="O56" s="50" t="str">
        <f xml:space="preserve"> CONCATENATE(L56,'Frame-1 IO'!E116,N56)</f>
        <v>VB02.DO8_Tray Insertion Servo Slide Pusher Up SOV</v>
      </c>
      <c r="P56" s="15" t="s">
        <v>332</v>
      </c>
      <c r="Q56" s="15" t="s">
        <v>209</v>
      </c>
      <c r="R56" s="15" t="s">
        <v>528</v>
      </c>
      <c r="S56" s="131" t="s">
        <v>334</v>
      </c>
    </row>
    <row r="57" spans="1:19" ht="16.5" thickBot="1">
      <c r="B57" s="108">
        <v>9</v>
      </c>
      <c r="C57" s="107" t="s">
        <v>1675</v>
      </c>
      <c r="D57" s="104" t="s">
        <v>258</v>
      </c>
      <c r="E57" s="15" t="s">
        <v>110</v>
      </c>
      <c r="F57" s="96" t="s">
        <v>652</v>
      </c>
      <c r="G57" s="184" t="str">
        <f t="shared" si="8"/>
        <v>RM09_DI09_Bag Opening Swing Arm Stretch In FB</v>
      </c>
      <c r="H57" s="15" t="s">
        <v>470</v>
      </c>
      <c r="I57" s="26" t="s">
        <v>209</v>
      </c>
      <c r="J57" s="15" t="s">
        <v>950</v>
      </c>
      <c r="K57" s="15">
        <v>9</v>
      </c>
      <c r="L57" s="109" t="s">
        <v>529</v>
      </c>
      <c r="M57" s="104" t="s">
        <v>530</v>
      </c>
      <c r="N57" s="96" t="s">
        <v>531</v>
      </c>
      <c r="O57" s="50" t="str">
        <f xml:space="preserve"> CONCATENATE(L57,'Frame-1 IO'!E117,N57)</f>
        <v>VB02.DO9_Tray Insertion Servo Slide Pusher Dn SOV</v>
      </c>
      <c r="P57" s="15" t="s">
        <v>332</v>
      </c>
      <c r="Q57" s="15" t="s">
        <v>209</v>
      </c>
      <c r="R57" s="15" t="s">
        <v>532</v>
      </c>
      <c r="S57" s="131" t="s">
        <v>334</v>
      </c>
    </row>
    <row r="58" spans="1:19" ht="16.5" thickBot="1">
      <c r="B58" s="108">
        <v>10</v>
      </c>
      <c r="C58" s="107" t="s">
        <v>1675</v>
      </c>
      <c r="D58" s="104" t="s">
        <v>264</v>
      </c>
      <c r="E58" s="15" t="s">
        <v>110</v>
      </c>
      <c r="F58" s="96" t="s">
        <v>654</v>
      </c>
      <c r="G58" s="184" t="str">
        <f t="shared" si="8"/>
        <v>RM09_DI10_Bag Opening Swing Arm Stretch Out FB</v>
      </c>
      <c r="H58" s="15" t="s">
        <v>470</v>
      </c>
      <c r="I58" s="26" t="s">
        <v>209</v>
      </c>
      <c r="J58" s="15" t="s">
        <v>951</v>
      </c>
      <c r="K58" s="15">
        <v>10</v>
      </c>
      <c r="L58" s="109" t="s">
        <v>533</v>
      </c>
      <c r="M58" s="104" t="s">
        <v>534</v>
      </c>
      <c r="N58" s="51" t="s">
        <v>135</v>
      </c>
      <c r="O58" s="50" t="str">
        <f xml:space="preserve"> CONCATENATE(L58,'Frame-1 IO'!E118,N58)</f>
        <v>VB02.DO10_Spare DO</v>
      </c>
      <c r="P58" s="15" t="s">
        <v>332</v>
      </c>
      <c r="Q58" s="15" t="s">
        <v>209</v>
      </c>
      <c r="R58" s="15"/>
      <c r="S58" s="131" t="s">
        <v>334</v>
      </c>
    </row>
    <row r="59" spans="1:19" ht="16.5" thickBot="1">
      <c r="B59" s="108">
        <v>11</v>
      </c>
      <c r="C59" s="107" t="s">
        <v>1675</v>
      </c>
      <c r="D59" s="104" t="s">
        <v>270</v>
      </c>
      <c r="E59" s="15" t="s">
        <v>110</v>
      </c>
      <c r="F59" s="50" t="s">
        <v>952</v>
      </c>
      <c r="G59" s="197" t="str">
        <f t="shared" si="8"/>
        <v>RM09_DI11_Bag Opening Bottom Vacuum Switch</v>
      </c>
      <c r="H59" s="15" t="s">
        <v>627</v>
      </c>
      <c r="I59" s="26" t="s">
        <v>209</v>
      </c>
      <c r="J59" s="15" t="s">
        <v>646</v>
      </c>
      <c r="K59" s="15">
        <v>11</v>
      </c>
      <c r="L59" s="109" t="s">
        <v>537</v>
      </c>
      <c r="M59" s="104" t="s">
        <v>538</v>
      </c>
      <c r="N59" s="51" t="s">
        <v>135</v>
      </c>
      <c r="O59" s="50" t="str">
        <f xml:space="preserve"> CONCATENATE(L59,'Frame-1 IO'!E119,N59)</f>
        <v>VB02.DO11_Spare DO</v>
      </c>
      <c r="P59" s="15" t="s">
        <v>332</v>
      </c>
      <c r="Q59" s="15" t="s">
        <v>209</v>
      </c>
      <c r="R59" s="15"/>
      <c r="S59" s="131" t="s">
        <v>334</v>
      </c>
    </row>
    <row r="60" spans="1:19" ht="16.5" thickBot="1">
      <c r="B60" s="110">
        <v>12</v>
      </c>
      <c r="C60" s="107" t="s">
        <v>1675</v>
      </c>
      <c r="D60" s="104" t="s">
        <v>275</v>
      </c>
      <c r="E60" s="15" t="s">
        <v>110</v>
      </c>
      <c r="F60" s="96" t="s">
        <v>129</v>
      </c>
      <c r="G60" s="50" t="str">
        <f t="shared" si="8"/>
        <v>RM09_DI12_Spare DI</v>
      </c>
      <c r="H60" s="15"/>
      <c r="I60" s="26" t="s">
        <v>209</v>
      </c>
      <c r="J60" s="15"/>
      <c r="K60" s="15">
        <v>12</v>
      </c>
      <c r="L60" s="109" t="s">
        <v>541</v>
      </c>
      <c r="M60" s="104" t="s">
        <v>542</v>
      </c>
      <c r="N60" s="50" t="s">
        <v>543</v>
      </c>
      <c r="O60" s="50" t="str">
        <f xml:space="preserve"> CONCATENATE(L60,'Frame-1 IO'!E120,N60)</f>
        <v>VB02.DO12_Sealing Unit Heating Jaw Up SOV</v>
      </c>
      <c r="P60" s="15" t="s">
        <v>332</v>
      </c>
      <c r="Q60" s="15" t="s">
        <v>209</v>
      </c>
      <c r="R60" s="15" t="s">
        <v>544</v>
      </c>
      <c r="S60" s="131" t="s">
        <v>334</v>
      </c>
    </row>
    <row r="61" spans="1:19" ht="16.5" thickBot="1">
      <c r="B61" s="106">
        <v>13</v>
      </c>
      <c r="C61" s="107" t="s">
        <v>1676</v>
      </c>
      <c r="D61" s="104" t="s">
        <v>206</v>
      </c>
      <c r="E61" s="15" t="s">
        <v>110</v>
      </c>
      <c r="F61" s="50" t="s">
        <v>640</v>
      </c>
      <c r="G61" s="50" t="str">
        <f t="shared" si="8"/>
        <v>RM10_DI01_Bag Present Sensor-1 at Bag Mouth Opening</v>
      </c>
      <c r="H61" s="15" t="s">
        <v>457</v>
      </c>
      <c r="I61" s="26" t="s">
        <v>209</v>
      </c>
      <c r="J61" s="15" t="s">
        <v>670</v>
      </c>
      <c r="K61" s="15">
        <v>13</v>
      </c>
      <c r="L61" s="109" t="s">
        <v>546</v>
      </c>
      <c r="M61" s="104" t="s">
        <v>547</v>
      </c>
      <c r="N61" s="50" t="s">
        <v>548</v>
      </c>
      <c r="O61" s="50" t="str">
        <f xml:space="preserve"> CONCATENATE(L61,'Frame-1 IO'!E121,N61)</f>
        <v>VB02.DO13_Sealing Unit Heating Jaw Dn SOV</v>
      </c>
      <c r="P61" s="15" t="s">
        <v>332</v>
      </c>
      <c r="Q61" s="15" t="s">
        <v>209</v>
      </c>
      <c r="R61" s="15" t="s">
        <v>549</v>
      </c>
      <c r="S61" s="131" t="s">
        <v>334</v>
      </c>
    </row>
    <row r="62" spans="1:19" ht="16.5" thickBot="1">
      <c r="B62" s="108">
        <v>14</v>
      </c>
      <c r="C62" s="107" t="s">
        <v>1676</v>
      </c>
      <c r="D62" s="104" t="s">
        <v>216</v>
      </c>
      <c r="E62" s="15" t="s">
        <v>110</v>
      </c>
      <c r="F62" s="50" t="s">
        <v>640</v>
      </c>
      <c r="G62" s="50" t="str">
        <f t="shared" si="8"/>
        <v>RM10_DI02_Bag Present Sensor-1 at Bag Mouth Opening</v>
      </c>
      <c r="H62" s="15" t="s">
        <v>457</v>
      </c>
      <c r="I62" s="26" t="s">
        <v>209</v>
      </c>
      <c r="J62" s="15" t="s">
        <v>687</v>
      </c>
      <c r="K62" s="15">
        <v>14</v>
      </c>
      <c r="L62" s="109" t="s">
        <v>551</v>
      </c>
      <c r="M62" s="104" t="s">
        <v>552</v>
      </c>
      <c r="N62" s="50" t="s">
        <v>553</v>
      </c>
      <c r="O62" s="50" t="str">
        <f xml:space="preserve"> CONCATENATE(L62,'Frame-1 IO'!E122,N62)</f>
        <v>VB02.DO14_Sealing Unit Vacuum Jaw In SOV</v>
      </c>
      <c r="P62" s="15" t="s">
        <v>332</v>
      </c>
      <c r="Q62" s="15" t="s">
        <v>209</v>
      </c>
      <c r="R62" s="15" t="s">
        <v>554</v>
      </c>
      <c r="S62" s="131" t="s">
        <v>334</v>
      </c>
    </row>
    <row r="63" spans="1:19" ht="16.5" thickBot="1">
      <c r="B63" s="108">
        <v>15</v>
      </c>
      <c r="C63" s="107" t="s">
        <v>1676</v>
      </c>
      <c r="D63" s="104" t="s">
        <v>223</v>
      </c>
      <c r="E63" s="15" t="s">
        <v>110</v>
      </c>
      <c r="F63" s="50" t="s">
        <v>656</v>
      </c>
      <c r="G63" s="184" t="str">
        <f t="shared" si="8"/>
        <v>RM10_DI03_Bag Opening Vacuum Cup Up FB</v>
      </c>
      <c r="H63" s="15" t="s">
        <v>470</v>
      </c>
      <c r="I63" s="26" t="s">
        <v>209</v>
      </c>
      <c r="J63" s="15" t="s">
        <v>953</v>
      </c>
      <c r="K63" s="15">
        <v>15</v>
      </c>
      <c r="L63" s="109" t="s">
        <v>557</v>
      </c>
      <c r="M63" s="104" t="s">
        <v>558</v>
      </c>
      <c r="N63" s="50" t="s">
        <v>559</v>
      </c>
      <c r="O63" s="50" t="str">
        <f xml:space="preserve"> CONCATENATE(L63,'Frame-1 IO'!E123,N63)</f>
        <v>VB02.DO15_Sealing Unit Vacuum Jaw Out SOV</v>
      </c>
      <c r="P63" s="15" t="s">
        <v>332</v>
      </c>
      <c r="Q63" s="15" t="s">
        <v>209</v>
      </c>
      <c r="R63" s="15" t="s">
        <v>560</v>
      </c>
      <c r="S63" s="131" t="s">
        <v>334</v>
      </c>
    </row>
    <row r="64" spans="1:19" ht="16.5" thickBot="1">
      <c r="B64" s="108">
        <v>16</v>
      </c>
      <c r="C64" s="107" t="s">
        <v>1676</v>
      </c>
      <c r="D64" s="104" t="s">
        <v>230</v>
      </c>
      <c r="E64" s="15" t="s">
        <v>110</v>
      </c>
      <c r="F64" s="50" t="s">
        <v>658</v>
      </c>
      <c r="G64" s="184" t="str">
        <f t="shared" si="8"/>
        <v>RM10_DI04_Bag Opening Vacuum Cup Dn FB</v>
      </c>
      <c r="H64" s="15" t="s">
        <v>470</v>
      </c>
      <c r="I64" s="26" t="s">
        <v>209</v>
      </c>
      <c r="J64" s="15" t="s">
        <v>954</v>
      </c>
      <c r="K64" s="15">
        <v>16</v>
      </c>
      <c r="L64" s="109" t="s">
        <v>563</v>
      </c>
      <c r="M64" s="104" t="s">
        <v>564</v>
      </c>
      <c r="N64" s="51" t="s">
        <v>135</v>
      </c>
      <c r="O64" s="50" t="str">
        <f xml:space="preserve"> CONCATENATE(L64,'Frame-1 IO'!E124,N64)</f>
        <v>VB02.DO16_Spare DO</v>
      </c>
      <c r="P64" s="15" t="s">
        <v>332</v>
      </c>
      <c r="Q64" s="15" t="s">
        <v>209</v>
      </c>
      <c r="R64" s="158"/>
      <c r="S64" s="131" t="s">
        <v>334</v>
      </c>
    </row>
    <row r="65" spans="2:19" ht="16.5" thickBot="1">
      <c r="B65" s="108">
        <v>17</v>
      </c>
      <c r="C65" s="107" t="s">
        <v>1676</v>
      </c>
      <c r="D65" s="104" t="s">
        <v>237</v>
      </c>
      <c r="E65" s="15" t="s">
        <v>110</v>
      </c>
      <c r="F65" s="50" t="s">
        <v>639</v>
      </c>
      <c r="G65" s="50" t="str">
        <f t="shared" si="8"/>
        <v>RM10_DI05_Bin-1 Bag Present Sensor</v>
      </c>
      <c r="H65" s="15" t="s">
        <v>457</v>
      </c>
      <c r="I65" s="26" t="s">
        <v>209</v>
      </c>
      <c r="J65" s="26" t="s">
        <v>955</v>
      </c>
      <c r="K65" s="15">
        <v>17</v>
      </c>
      <c r="L65" s="109" t="s">
        <v>567</v>
      </c>
      <c r="M65" s="104" t="s">
        <v>568</v>
      </c>
      <c r="N65" s="51" t="s">
        <v>135</v>
      </c>
      <c r="O65" s="50" t="str">
        <f xml:space="preserve"> CONCATENATE(L65,'Frame-1 IO'!E125,N65)</f>
        <v>VB02.DO17_Spare DO</v>
      </c>
      <c r="P65" s="15" t="s">
        <v>332</v>
      </c>
      <c r="Q65" s="15" t="s">
        <v>209</v>
      </c>
      <c r="R65" s="158"/>
      <c r="S65" s="131" t="s">
        <v>334</v>
      </c>
    </row>
    <row r="66" spans="2:19" ht="16.5" thickBot="1">
      <c r="B66" s="108">
        <v>18</v>
      </c>
      <c r="C66" s="107" t="s">
        <v>1676</v>
      </c>
      <c r="D66" s="104" t="s">
        <v>243</v>
      </c>
      <c r="E66" s="15" t="s">
        <v>110</v>
      </c>
      <c r="F66" s="50" t="s">
        <v>642</v>
      </c>
      <c r="G66" s="50" t="str">
        <f t="shared" si="8"/>
        <v>RM10_DI06_Bin-2 Bag Present Sensor</v>
      </c>
      <c r="H66" s="15" t="s">
        <v>457</v>
      </c>
      <c r="I66" s="26" t="s">
        <v>209</v>
      </c>
      <c r="J66" s="26" t="s">
        <v>956</v>
      </c>
      <c r="K66" s="15">
        <v>18</v>
      </c>
      <c r="L66" s="124" t="s">
        <v>571</v>
      </c>
      <c r="M66" s="125" t="s">
        <v>572</v>
      </c>
      <c r="N66" s="132" t="s">
        <v>135</v>
      </c>
      <c r="O66" s="126" t="str">
        <f xml:space="preserve"> CONCATENATE(L66,'Frame-1 IO'!E126,N66)</f>
        <v>VB02.DO18_Spare DO</v>
      </c>
      <c r="P66" s="105" t="s">
        <v>332</v>
      </c>
      <c r="Q66" s="105" t="s">
        <v>209</v>
      </c>
      <c r="R66" s="162"/>
      <c r="S66" s="131" t="s">
        <v>483</v>
      </c>
    </row>
    <row r="67" spans="2:19" ht="16.5" thickBot="1">
      <c r="B67" s="108">
        <v>19</v>
      </c>
      <c r="C67" s="107" t="s">
        <v>1676</v>
      </c>
      <c r="D67" s="104" t="s">
        <v>247</v>
      </c>
      <c r="E67" s="15" t="s">
        <v>110</v>
      </c>
      <c r="F67" s="50" t="s">
        <v>957</v>
      </c>
      <c r="G67" s="50" t="str">
        <f t="shared" si="8"/>
        <v>RM10_DI07_Bag Bin-1 Lock/Unlock PB</v>
      </c>
      <c r="H67" s="15" t="s">
        <v>958</v>
      </c>
      <c r="I67" s="26" t="s">
        <v>209</v>
      </c>
      <c r="J67" s="15" t="s">
        <v>959</v>
      </c>
      <c r="K67" s="127"/>
      <c r="L67" s="127"/>
      <c r="M67" s="127"/>
      <c r="N67" s="127"/>
      <c r="O67" s="127"/>
      <c r="P67" s="127"/>
      <c r="Q67" s="127"/>
      <c r="R67" s="127"/>
    </row>
    <row r="68" spans="2:19" ht="16.5" thickBot="1">
      <c r="B68" s="108">
        <v>20</v>
      </c>
      <c r="C68" s="107" t="s">
        <v>1676</v>
      </c>
      <c r="D68" s="104" t="s">
        <v>251</v>
      </c>
      <c r="E68" s="15" t="s">
        <v>110</v>
      </c>
      <c r="F68" s="50" t="s">
        <v>960</v>
      </c>
      <c r="G68" s="50" t="str">
        <f t="shared" si="8"/>
        <v>RM10_DI08_Bag Bin-2 Lock/Unlock PB</v>
      </c>
      <c r="H68" s="15" t="s">
        <v>958</v>
      </c>
      <c r="I68" s="26" t="s">
        <v>209</v>
      </c>
      <c r="J68" s="15" t="s">
        <v>961</v>
      </c>
      <c r="K68" s="127"/>
      <c r="L68" s="127"/>
      <c r="M68" s="127"/>
      <c r="N68" s="127"/>
      <c r="O68" s="127"/>
      <c r="P68" s="127"/>
      <c r="Q68" s="127"/>
      <c r="R68" s="127"/>
    </row>
    <row r="69" spans="2:19" ht="16.5" thickBot="1">
      <c r="B69" s="108">
        <v>21</v>
      </c>
      <c r="C69" s="107" t="s">
        <v>1676</v>
      </c>
      <c r="D69" s="104" t="s">
        <v>258</v>
      </c>
      <c r="E69" s="15" t="s">
        <v>110</v>
      </c>
      <c r="F69" s="50" t="s">
        <v>644</v>
      </c>
      <c r="G69" s="184" t="str">
        <f t="shared" si="8"/>
        <v>RM10_DI09_Bag Transfer Robot Vacuum Switch</v>
      </c>
      <c r="H69" s="15" t="s">
        <v>627</v>
      </c>
      <c r="I69" s="26" t="s">
        <v>209</v>
      </c>
      <c r="J69" s="15" t="s">
        <v>962</v>
      </c>
      <c r="K69" s="127"/>
      <c r="L69" s="127"/>
      <c r="M69" s="127"/>
      <c r="N69" s="127"/>
      <c r="O69" s="127"/>
      <c r="P69" s="127"/>
      <c r="Q69" s="127"/>
      <c r="R69" s="127"/>
    </row>
    <row r="70" spans="2:19" ht="16.5" thickBot="1">
      <c r="B70" s="108">
        <v>22</v>
      </c>
      <c r="C70" s="107" t="s">
        <v>1676</v>
      </c>
      <c r="D70" s="104" t="s">
        <v>264</v>
      </c>
      <c r="E70" s="15" t="s">
        <v>110</v>
      </c>
      <c r="F70" s="50" t="s">
        <v>664</v>
      </c>
      <c r="G70" s="50" t="str">
        <f t="shared" si="8"/>
        <v>RM10_DI10_Bag Transfer Robot Bag Sensor</v>
      </c>
      <c r="H70" s="15" t="s">
        <v>457</v>
      </c>
      <c r="I70" s="26" t="s">
        <v>209</v>
      </c>
      <c r="J70" s="15" t="s">
        <v>963</v>
      </c>
      <c r="K70" s="127"/>
      <c r="L70" s="127"/>
      <c r="M70" s="127"/>
      <c r="N70" s="127"/>
      <c r="O70" s="127"/>
      <c r="P70" s="127"/>
      <c r="Q70" s="127"/>
      <c r="R70" s="127"/>
    </row>
    <row r="71" spans="2:19" ht="16.5" thickBot="1">
      <c r="B71" s="108">
        <v>23</v>
      </c>
      <c r="C71" s="107" t="s">
        <v>1676</v>
      </c>
      <c r="D71" s="104" t="s">
        <v>270</v>
      </c>
      <c r="E71" s="15" t="s">
        <v>110</v>
      </c>
      <c r="F71" s="50" t="s">
        <v>693</v>
      </c>
      <c r="G71" s="50" t="str">
        <f t="shared" si="8"/>
        <v>RM10_DI11_Sealing Conveyor Job Present Entry Sensor</v>
      </c>
      <c r="H71" s="15" t="s">
        <v>457</v>
      </c>
      <c r="I71" s="26" t="s">
        <v>209</v>
      </c>
      <c r="J71" s="15" t="s">
        <v>964</v>
      </c>
      <c r="K71" s="127"/>
      <c r="L71" s="127"/>
      <c r="M71" s="127"/>
      <c r="N71" s="127"/>
      <c r="O71" s="127"/>
      <c r="P71" s="127"/>
      <c r="Q71" s="127"/>
      <c r="R71" s="127"/>
    </row>
    <row r="72" spans="2:19" ht="16.5" thickBot="1">
      <c r="B72" s="110">
        <v>24</v>
      </c>
      <c r="C72" s="107" t="s">
        <v>1676</v>
      </c>
      <c r="D72" s="104" t="s">
        <v>275</v>
      </c>
      <c r="E72" s="15" t="s">
        <v>110</v>
      </c>
      <c r="F72" s="50" t="s">
        <v>129</v>
      </c>
      <c r="G72" s="50" t="str">
        <f t="shared" si="8"/>
        <v>RM10_DI12_Spare DI</v>
      </c>
      <c r="H72" s="15"/>
      <c r="I72" s="26" t="s">
        <v>209</v>
      </c>
      <c r="J72" s="15"/>
      <c r="K72" s="127"/>
      <c r="L72" s="127"/>
      <c r="M72" s="127"/>
      <c r="N72" s="127"/>
      <c r="O72" s="127"/>
      <c r="P72" s="127"/>
      <c r="Q72" s="127"/>
      <c r="R72" s="127"/>
    </row>
    <row r="73" spans="2:19" ht="16.5" thickBot="1">
      <c r="B73" s="106">
        <v>25</v>
      </c>
      <c r="C73" s="107" t="s">
        <v>1677</v>
      </c>
      <c r="D73" s="104" t="s">
        <v>206</v>
      </c>
      <c r="E73" s="15" t="s">
        <v>110</v>
      </c>
      <c r="F73" s="50" t="s">
        <v>665</v>
      </c>
      <c r="G73" s="50" t="str">
        <f t="shared" si="8"/>
        <v>RM11_DI01_Sealing Unit Job Present Sensor-1</v>
      </c>
      <c r="H73" s="15" t="s">
        <v>457</v>
      </c>
      <c r="I73" s="26" t="s">
        <v>209</v>
      </c>
      <c r="J73" s="15" t="s">
        <v>965</v>
      </c>
      <c r="K73" s="127"/>
      <c r="L73" s="127"/>
      <c r="M73" s="127"/>
      <c r="N73" s="127"/>
      <c r="O73" s="127"/>
      <c r="P73" s="127"/>
      <c r="Q73" s="127"/>
      <c r="R73" s="127"/>
    </row>
    <row r="74" spans="2:19" ht="16.5" thickBot="1">
      <c r="B74" s="108">
        <v>26</v>
      </c>
      <c r="C74" s="107" t="s">
        <v>1677</v>
      </c>
      <c r="D74" s="104" t="s">
        <v>216</v>
      </c>
      <c r="E74" s="15" t="s">
        <v>110</v>
      </c>
      <c r="F74" s="50" t="s">
        <v>668</v>
      </c>
      <c r="G74" s="50" t="str">
        <f t="shared" si="8"/>
        <v>RM11_DI02_Sealing Unit Job Present Sensor-2</v>
      </c>
      <c r="H74" s="15" t="s">
        <v>457</v>
      </c>
      <c r="I74" s="26" t="s">
        <v>209</v>
      </c>
      <c r="J74" s="15" t="s">
        <v>966</v>
      </c>
      <c r="K74" s="127"/>
      <c r="L74" s="127"/>
      <c r="M74" s="127"/>
      <c r="N74" s="127"/>
      <c r="O74" s="127"/>
      <c r="P74" s="127"/>
      <c r="Q74" s="127"/>
      <c r="R74" s="127"/>
    </row>
    <row r="75" spans="2:19" ht="16.5" thickBot="1">
      <c r="B75" s="108">
        <v>27</v>
      </c>
      <c r="C75" s="107" t="s">
        <v>1677</v>
      </c>
      <c r="D75" s="104" t="s">
        <v>223</v>
      </c>
      <c r="E75" s="15" t="s">
        <v>110</v>
      </c>
      <c r="F75" s="50" t="s">
        <v>671</v>
      </c>
      <c r="G75" s="184" t="str">
        <f t="shared" si="8"/>
        <v>RM11_DI03_Sealing Unit Heating Jaw Up FB</v>
      </c>
      <c r="H75" s="15" t="s">
        <v>470</v>
      </c>
      <c r="I75" s="26" t="s">
        <v>209</v>
      </c>
      <c r="J75" s="15" t="s">
        <v>967</v>
      </c>
      <c r="K75" s="127"/>
      <c r="L75" s="127"/>
      <c r="M75" s="127"/>
      <c r="N75" s="127"/>
      <c r="O75" s="127"/>
      <c r="P75" s="127"/>
      <c r="Q75" s="127"/>
      <c r="R75" s="127"/>
    </row>
    <row r="76" spans="2:19" ht="16.5" thickBot="1">
      <c r="B76" s="108">
        <v>28</v>
      </c>
      <c r="C76" s="107" t="s">
        <v>1677</v>
      </c>
      <c r="D76" s="104" t="s">
        <v>230</v>
      </c>
      <c r="E76" s="15" t="s">
        <v>110</v>
      </c>
      <c r="F76" s="50" t="s">
        <v>674</v>
      </c>
      <c r="G76" s="184" t="str">
        <f t="shared" si="8"/>
        <v>RM11_DI04_Sealing Unit Heating Jaw Dn FB</v>
      </c>
      <c r="H76" s="15" t="s">
        <v>470</v>
      </c>
      <c r="I76" s="26" t="s">
        <v>209</v>
      </c>
      <c r="J76" s="15" t="s">
        <v>968</v>
      </c>
      <c r="K76" s="127"/>
      <c r="L76" s="127"/>
      <c r="M76" s="127"/>
      <c r="N76" s="127"/>
      <c r="O76" s="127"/>
      <c r="P76" s="127"/>
      <c r="Q76" s="127"/>
      <c r="R76" s="127"/>
    </row>
    <row r="77" spans="2:19" ht="16.5" thickBot="1">
      <c r="B77" s="108">
        <v>29</v>
      </c>
      <c r="C77" s="107" t="s">
        <v>1677</v>
      </c>
      <c r="D77" s="104" t="s">
        <v>237</v>
      </c>
      <c r="E77" s="15" t="s">
        <v>110</v>
      </c>
      <c r="F77" s="50" t="s">
        <v>677</v>
      </c>
      <c r="G77" s="184" t="str">
        <f t="shared" si="8"/>
        <v>RM11_DI05_Sealing Unit Vacuum Jaw In FB</v>
      </c>
      <c r="H77" s="15" t="s">
        <v>470</v>
      </c>
      <c r="I77" s="26" t="s">
        <v>209</v>
      </c>
      <c r="J77" s="15" t="s">
        <v>969</v>
      </c>
      <c r="K77" s="127"/>
      <c r="L77" s="127"/>
      <c r="M77" s="127"/>
      <c r="N77" s="127"/>
      <c r="O77" s="127"/>
      <c r="P77" s="127"/>
      <c r="Q77" s="127"/>
      <c r="R77" s="127"/>
    </row>
    <row r="78" spans="2:19" ht="16.5" thickBot="1">
      <c r="B78" s="108">
        <v>30</v>
      </c>
      <c r="C78" s="107" t="s">
        <v>1677</v>
      </c>
      <c r="D78" s="104" t="s">
        <v>243</v>
      </c>
      <c r="E78" s="15" t="s">
        <v>110</v>
      </c>
      <c r="F78" s="50" t="s">
        <v>680</v>
      </c>
      <c r="G78" s="184" t="str">
        <f t="shared" si="8"/>
        <v>RM11_DI06_Sealing Unit Vacuum Jaw Out FB</v>
      </c>
      <c r="H78" s="15" t="s">
        <v>470</v>
      </c>
      <c r="I78" s="26" t="s">
        <v>209</v>
      </c>
      <c r="J78" s="15" t="s">
        <v>970</v>
      </c>
      <c r="K78" s="15"/>
      <c r="L78" s="15"/>
      <c r="M78" s="15"/>
      <c r="N78" s="51"/>
      <c r="O78" s="51"/>
      <c r="P78" s="26"/>
      <c r="Q78" s="15"/>
      <c r="R78" s="15"/>
    </row>
    <row r="79" spans="2:19" ht="16.5" thickBot="1">
      <c r="B79" s="108">
        <v>31</v>
      </c>
      <c r="C79" s="107" t="s">
        <v>1677</v>
      </c>
      <c r="D79" s="104" t="s">
        <v>247</v>
      </c>
      <c r="E79" s="15" t="s">
        <v>110</v>
      </c>
      <c r="F79" s="50" t="s">
        <v>971</v>
      </c>
      <c r="G79" s="50" t="str">
        <f t="shared" si="8"/>
        <v>RM11_DI07_Sealing Unit Vacuum Pressure OK</v>
      </c>
      <c r="H79" s="15" t="s">
        <v>627</v>
      </c>
      <c r="I79" s="26" t="s">
        <v>209</v>
      </c>
      <c r="J79" s="26" t="s">
        <v>972</v>
      </c>
      <c r="K79" s="15"/>
      <c r="L79" s="15"/>
      <c r="M79" s="15"/>
      <c r="N79" s="127"/>
      <c r="O79" s="51"/>
      <c r="P79" s="26"/>
      <c r="Q79" s="15"/>
      <c r="R79" s="15"/>
    </row>
    <row r="80" spans="2:19" ht="16.5" thickBot="1">
      <c r="B80" s="108">
        <v>32</v>
      </c>
      <c r="C80" s="107" t="s">
        <v>1677</v>
      </c>
      <c r="D80" s="104" t="s">
        <v>251</v>
      </c>
      <c r="E80" s="15" t="s">
        <v>110</v>
      </c>
      <c r="F80" s="50" t="s">
        <v>973</v>
      </c>
      <c r="G80" s="184" t="str">
        <f t="shared" si="8"/>
        <v>RM11_DI08_Sealing Unit Bag Opening Cylinder Up FB</v>
      </c>
      <c r="H80" s="15" t="s">
        <v>470</v>
      </c>
      <c r="I80" s="26" t="s">
        <v>209</v>
      </c>
      <c r="J80" s="15" t="s">
        <v>974</v>
      </c>
      <c r="K80" s="15"/>
      <c r="L80" s="15"/>
      <c r="M80" s="15"/>
      <c r="N80" s="127"/>
      <c r="O80" s="51"/>
      <c r="P80" s="26"/>
      <c r="Q80" s="15"/>
      <c r="R80" s="15"/>
    </row>
    <row r="81" spans="2:18" ht="16.5" thickBot="1">
      <c r="B81" s="108">
        <v>33</v>
      </c>
      <c r="C81" s="107" t="s">
        <v>1677</v>
      </c>
      <c r="D81" s="104" t="s">
        <v>258</v>
      </c>
      <c r="E81" s="15" t="s">
        <v>110</v>
      </c>
      <c r="F81" s="50" t="s">
        <v>975</v>
      </c>
      <c r="G81" s="184" t="str">
        <f t="shared" si="8"/>
        <v>RM11_DI09_Sealing Unit Bag Opening Cylinder Dn FB</v>
      </c>
      <c r="H81" s="15" t="s">
        <v>470</v>
      </c>
      <c r="I81" s="26" t="s">
        <v>209</v>
      </c>
      <c r="J81" s="15" t="s">
        <v>976</v>
      </c>
      <c r="K81" s="15"/>
      <c r="L81" s="15"/>
      <c r="M81" s="15"/>
      <c r="N81" s="127"/>
      <c r="O81" s="51"/>
      <c r="P81" s="26"/>
      <c r="Q81" s="15"/>
      <c r="R81" s="15"/>
    </row>
    <row r="82" spans="2:18" ht="16.5" thickBot="1">
      <c r="B82" s="108">
        <v>34</v>
      </c>
      <c r="C82" s="107" t="s">
        <v>1677</v>
      </c>
      <c r="D82" s="104" t="s">
        <v>264</v>
      </c>
      <c r="E82" s="15" t="s">
        <v>110</v>
      </c>
      <c r="F82" s="50" t="s">
        <v>694</v>
      </c>
      <c r="G82" s="50" t="str">
        <f t="shared" si="8"/>
        <v>RM11_DI10_Sealing Conveyor Job Present Exit Sensor</v>
      </c>
      <c r="H82" s="15" t="s">
        <v>457</v>
      </c>
      <c r="I82" s="26" t="s">
        <v>209</v>
      </c>
      <c r="J82" s="15" t="s">
        <v>977</v>
      </c>
      <c r="K82" s="15"/>
      <c r="L82" s="15"/>
      <c r="M82" s="15"/>
      <c r="N82" s="127"/>
      <c r="O82" s="51"/>
      <c r="P82" s="26"/>
      <c r="Q82" s="15"/>
      <c r="R82" s="15"/>
    </row>
    <row r="83" spans="2:18" ht="16.5" thickBot="1">
      <c r="B83" s="108">
        <v>35</v>
      </c>
      <c r="C83" s="107" t="s">
        <v>1677</v>
      </c>
      <c r="D83" s="104" t="s">
        <v>270</v>
      </c>
      <c r="E83" s="15" t="s">
        <v>110</v>
      </c>
      <c r="F83" s="50" t="s">
        <v>129</v>
      </c>
      <c r="G83" s="50" t="str">
        <f t="shared" si="8"/>
        <v>RM11_DI11_Spare DI</v>
      </c>
      <c r="H83" s="15"/>
      <c r="I83" s="26" t="s">
        <v>209</v>
      </c>
      <c r="J83" s="15"/>
      <c r="K83" s="15"/>
      <c r="L83" s="15"/>
      <c r="M83" s="15"/>
      <c r="N83" s="127"/>
      <c r="O83" s="51"/>
      <c r="P83" s="26"/>
      <c r="Q83" s="15"/>
      <c r="R83" s="15"/>
    </row>
    <row r="84" spans="2:18" ht="16.5" thickBot="1">
      <c r="B84" s="110">
        <v>36</v>
      </c>
      <c r="C84" s="107" t="s">
        <v>1677</v>
      </c>
      <c r="D84" s="104" t="s">
        <v>275</v>
      </c>
      <c r="E84" s="15" t="s">
        <v>110</v>
      </c>
      <c r="F84" s="50" t="s">
        <v>129</v>
      </c>
      <c r="G84" s="50" t="str">
        <f t="shared" si="8"/>
        <v>RM11_DI12_Spare DI</v>
      </c>
      <c r="H84" s="15"/>
      <c r="I84" s="26" t="s">
        <v>209</v>
      </c>
      <c r="J84" s="15"/>
      <c r="K84" s="15"/>
      <c r="L84" s="15"/>
      <c r="M84" s="15"/>
      <c r="N84" s="127"/>
      <c r="O84" s="51"/>
      <c r="P84" s="26"/>
      <c r="Q84" s="15"/>
      <c r="R84" s="15"/>
    </row>
  </sheetData>
  <mergeCells count="3">
    <mergeCell ref="B2:R2"/>
    <mergeCell ref="B3:J3"/>
    <mergeCell ref="K3:R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7"/>
  <sheetViews>
    <sheetView tabSelected="1" topLeftCell="C4" workbookViewId="0">
      <selection activeCell="D20" sqref="D20"/>
    </sheetView>
  </sheetViews>
  <sheetFormatPr defaultRowHeight="15"/>
  <cols>
    <col min="2" max="2" width="32.42578125" style="1" bestFit="1" customWidth="1"/>
    <col min="3" max="3" width="3.28515625" bestFit="1" customWidth="1"/>
    <col min="4" max="4" width="45.7109375" customWidth="1"/>
    <col min="5" max="5" width="8.42578125" bestFit="1" customWidth="1"/>
    <col min="6" max="6" width="15.28515625" customWidth="1"/>
    <col min="7" max="7" width="13.5703125" bestFit="1" customWidth="1"/>
    <col min="8" max="8" width="2" bestFit="1" customWidth="1"/>
    <col min="9" max="9" width="41.5703125" bestFit="1" customWidth="1"/>
    <col min="10" max="11" width="5.85546875" bestFit="1" customWidth="1"/>
    <col min="12" max="13" width="4.5703125" bestFit="1" customWidth="1"/>
    <col min="14" max="15" width="5.28515625" bestFit="1" customWidth="1"/>
  </cols>
  <sheetData>
    <row r="1" spans="3:13">
      <c r="D1" t="s">
        <v>18</v>
      </c>
      <c r="G1" t="s">
        <v>986</v>
      </c>
      <c r="J1" s="231" t="s">
        <v>987</v>
      </c>
      <c r="K1" s="231"/>
      <c r="L1" s="231"/>
      <c r="M1" s="231"/>
    </row>
    <row r="2" spans="3:13">
      <c r="C2" s="169">
        <v>1</v>
      </c>
      <c r="D2" s="169" t="s">
        <v>988</v>
      </c>
      <c r="E2" s="169" t="s">
        <v>989</v>
      </c>
      <c r="F2" s="169"/>
      <c r="G2" s="169"/>
      <c r="H2" s="169"/>
      <c r="I2" s="169"/>
      <c r="J2" s="230" t="s">
        <v>990</v>
      </c>
      <c r="K2" s="230"/>
      <c r="L2" s="230"/>
      <c r="M2" s="230"/>
    </row>
    <row r="3" spans="3:13">
      <c r="C3" s="163">
        <v>2</v>
      </c>
      <c r="D3" s="170" t="s">
        <v>1663</v>
      </c>
      <c r="E3" s="170" t="s">
        <v>992</v>
      </c>
      <c r="F3" s="163"/>
      <c r="G3" s="163"/>
      <c r="H3" s="163"/>
      <c r="I3" s="163"/>
      <c r="J3" s="232" t="s">
        <v>993</v>
      </c>
      <c r="K3" s="232"/>
      <c r="L3" s="232"/>
      <c r="M3" s="232"/>
    </row>
    <row r="4" spans="3:13">
      <c r="C4" s="169">
        <v>3</v>
      </c>
      <c r="D4" s="169" t="s">
        <v>1664</v>
      </c>
      <c r="E4" s="169" t="s">
        <v>1661</v>
      </c>
      <c r="F4" s="169"/>
      <c r="G4" s="169"/>
      <c r="H4" s="169"/>
      <c r="I4" s="169"/>
      <c r="J4" s="230" t="s">
        <v>996</v>
      </c>
      <c r="K4" s="230"/>
      <c r="L4" s="230"/>
      <c r="M4" s="230"/>
    </row>
    <row r="5" spans="3:13">
      <c r="C5" s="163">
        <v>4</v>
      </c>
      <c r="D5" s="170" t="s">
        <v>1662</v>
      </c>
      <c r="E5" s="170" t="s">
        <v>997</v>
      </c>
      <c r="F5" s="163"/>
      <c r="G5" s="163"/>
      <c r="H5" s="163"/>
      <c r="I5" s="163"/>
      <c r="J5" s="232" t="s">
        <v>1667</v>
      </c>
      <c r="K5" s="232"/>
      <c r="L5" s="232"/>
      <c r="M5" s="232"/>
    </row>
    <row r="6" spans="3:13">
      <c r="C6" s="169">
        <v>5</v>
      </c>
      <c r="D6" s="169" t="s">
        <v>1666</v>
      </c>
      <c r="E6" s="169" t="s">
        <v>1665</v>
      </c>
      <c r="F6" s="169"/>
      <c r="G6" s="169"/>
      <c r="H6" s="169"/>
      <c r="I6" s="169"/>
      <c r="J6" s="230" t="s">
        <v>1668</v>
      </c>
      <c r="K6" s="230"/>
      <c r="L6" s="230"/>
      <c r="M6" s="230"/>
    </row>
    <row r="7" spans="3:13">
      <c r="C7" s="163">
        <v>6</v>
      </c>
      <c r="D7" s="170" t="s">
        <v>994</v>
      </c>
      <c r="E7" s="170" t="s">
        <v>995</v>
      </c>
      <c r="F7" s="163"/>
      <c r="G7" s="163"/>
      <c r="H7" s="171"/>
      <c r="I7" s="171"/>
      <c r="J7" s="236" t="s">
        <v>998</v>
      </c>
      <c r="K7" s="237"/>
      <c r="L7" s="237"/>
      <c r="M7" s="238"/>
    </row>
    <row r="8" spans="3:13">
      <c r="C8" s="169">
        <v>7</v>
      </c>
      <c r="D8" s="169" t="s">
        <v>26</v>
      </c>
      <c r="E8" s="169" t="s">
        <v>27</v>
      </c>
      <c r="F8" s="169" t="s">
        <v>28</v>
      </c>
      <c r="G8" s="169" t="s">
        <v>999</v>
      </c>
      <c r="H8" s="169" t="s">
        <v>110</v>
      </c>
      <c r="I8" s="169" t="s">
        <v>1641</v>
      </c>
      <c r="J8" s="233" t="s">
        <v>1000</v>
      </c>
      <c r="K8" s="234"/>
      <c r="L8" s="234"/>
      <c r="M8" s="235"/>
    </row>
    <row r="9" spans="3:13">
      <c r="C9" s="163">
        <v>8</v>
      </c>
      <c r="D9" s="172" t="s">
        <v>29</v>
      </c>
      <c r="E9" s="171" t="s">
        <v>30</v>
      </c>
      <c r="F9" s="171" t="s">
        <v>28</v>
      </c>
      <c r="G9" s="163" t="s">
        <v>1001</v>
      </c>
      <c r="H9" s="171" t="s">
        <v>110</v>
      </c>
      <c r="I9" s="171" t="s">
        <v>1642</v>
      </c>
      <c r="J9" s="236" t="s">
        <v>1002</v>
      </c>
      <c r="K9" s="237"/>
      <c r="L9" s="237"/>
      <c r="M9" s="238"/>
    </row>
    <row r="10" spans="3:13">
      <c r="C10" s="169">
        <v>9</v>
      </c>
      <c r="D10" s="169" t="s">
        <v>31</v>
      </c>
      <c r="E10" s="169" t="s">
        <v>32</v>
      </c>
      <c r="F10" s="169" t="s">
        <v>28</v>
      </c>
      <c r="G10" s="169" t="s">
        <v>1003</v>
      </c>
      <c r="H10" s="169" t="s">
        <v>110</v>
      </c>
      <c r="I10" s="169" t="s">
        <v>1643</v>
      </c>
      <c r="J10" s="233" t="s">
        <v>1004</v>
      </c>
      <c r="K10" s="234"/>
      <c r="L10" s="234"/>
      <c r="M10" s="235"/>
    </row>
    <row r="11" spans="3:13">
      <c r="C11" s="163">
        <v>10</v>
      </c>
      <c r="D11" s="173" t="s">
        <v>33</v>
      </c>
      <c r="E11" s="163" t="s">
        <v>34</v>
      </c>
      <c r="F11" s="163" t="s">
        <v>28</v>
      </c>
      <c r="G11" s="163" t="s">
        <v>1005</v>
      </c>
      <c r="H11" s="163" t="s">
        <v>110</v>
      </c>
      <c r="I11" s="163" t="s">
        <v>1644</v>
      </c>
      <c r="J11" s="236" t="s">
        <v>1006</v>
      </c>
      <c r="K11" s="237"/>
      <c r="L11" s="237"/>
      <c r="M11" s="238"/>
    </row>
    <row r="12" spans="3:13">
      <c r="C12" s="169">
        <v>11</v>
      </c>
      <c r="D12" s="169" t="s">
        <v>35</v>
      </c>
      <c r="E12" s="169" t="s">
        <v>36</v>
      </c>
      <c r="F12" s="169" t="s">
        <v>28</v>
      </c>
      <c r="G12" s="169" t="s">
        <v>1007</v>
      </c>
      <c r="H12" s="169" t="s">
        <v>110</v>
      </c>
      <c r="I12" s="169" t="s">
        <v>1645</v>
      </c>
      <c r="J12" s="233" t="s">
        <v>1008</v>
      </c>
      <c r="K12" s="234"/>
      <c r="L12" s="234"/>
      <c r="M12" s="235"/>
    </row>
    <row r="13" spans="3:13">
      <c r="C13" s="163">
        <v>12</v>
      </c>
      <c r="D13" s="173" t="s">
        <v>37</v>
      </c>
      <c r="E13" s="163" t="s">
        <v>38</v>
      </c>
      <c r="F13" s="163" t="s">
        <v>28</v>
      </c>
      <c r="G13" s="163" t="s">
        <v>1009</v>
      </c>
      <c r="H13" s="163" t="s">
        <v>110</v>
      </c>
      <c r="I13" s="163" t="s">
        <v>1646</v>
      </c>
      <c r="J13" s="236" t="s">
        <v>1010</v>
      </c>
      <c r="K13" s="237"/>
      <c r="L13" s="237"/>
      <c r="M13" s="238"/>
    </row>
    <row r="14" spans="3:13">
      <c r="C14" s="169">
        <v>13</v>
      </c>
      <c r="D14" s="169" t="s">
        <v>44</v>
      </c>
      <c r="E14" s="169" t="s">
        <v>45</v>
      </c>
      <c r="F14" s="169" t="s">
        <v>46</v>
      </c>
      <c r="G14" s="169" t="s">
        <v>1011</v>
      </c>
      <c r="H14" s="169" t="s">
        <v>110</v>
      </c>
      <c r="I14" s="169" t="s">
        <v>1647</v>
      </c>
      <c r="J14" s="233" t="s">
        <v>1012</v>
      </c>
      <c r="K14" s="234"/>
      <c r="L14" s="234"/>
      <c r="M14" s="235"/>
    </row>
    <row r="15" spans="3:13">
      <c r="C15" s="163">
        <v>14</v>
      </c>
      <c r="D15" s="173" t="s">
        <v>48</v>
      </c>
      <c r="E15" s="163" t="s">
        <v>49</v>
      </c>
      <c r="F15" s="163" t="s">
        <v>28</v>
      </c>
      <c r="G15" s="163" t="s">
        <v>1013</v>
      </c>
      <c r="H15" s="163" t="s">
        <v>110</v>
      </c>
      <c r="I15" s="163" t="s">
        <v>1648</v>
      </c>
      <c r="J15" s="236" t="s">
        <v>1014</v>
      </c>
      <c r="K15" s="237"/>
      <c r="L15" s="237"/>
      <c r="M15" s="238"/>
    </row>
    <row r="16" spans="3:13">
      <c r="C16" s="169">
        <v>15</v>
      </c>
      <c r="D16" s="169" t="s">
        <v>86</v>
      </c>
      <c r="E16" s="169" t="s">
        <v>87</v>
      </c>
      <c r="F16" s="169" t="s">
        <v>88</v>
      </c>
      <c r="G16" s="169" t="s">
        <v>1015</v>
      </c>
      <c r="H16" s="169" t="s">
        <v>110</v>
      </c>
      <c r="I16" s="169" t="s">
        <v>1649</v>
      </c>
      <c r="J16" s="233" t="s">
        <v>1016</v>
      </c>
      <c r="K16" s="234"/>
      <c r="L16" s="234"/>
      <c r="M16" s="235"/>
    </row>
    <row r="17" spans="2:13">
      <c r="C17" s="163">
        <v>16</v>
      </c>
      <c r="D17" s="173" t="s">
        <v>91</v>
      </c>
      <c r="E17" s="163" t="s">
        <v>92</v>
      </c>
      <c r="F17" s="163" t="s">
        <v>88</v>
      </c>
      <c r="G17" s="163" t="s">
        <v>1017</v>
      </c>
      <c r="H17" s="163" t="s">
        <v>110</v>
      </c>
      <c r="I17" s="163" t="s">
        <v>1650</v>
      </c>
      <c r="J17" s="236" t="s">
        <v>1018</v>
      </c>
      <c r="K17" s="237"/>
      <c r="L17" s="237"/>
      <c r="M17" s="238"/>
    </row>
    <row r="18" spans="2:13">
      <c r="C18" s="169">
        <v>17</v>
      </c>
      <c r="D18" s="169" t="s">
        <v>39</v>
      </c>
      <c r="E18" s="169" t="s">
        <v>40</v>
      </c>
      <c r="F18" s="169" t="s">
        <v>41</v>
      </c>
      <c r="G18" s="169" t="s">
        <v>1019</v>
      </c>
      <c r="H18" s="169" t="s">
        <v>110</v>
      </c>
      <c r="I18" s="169" t="s">
        <v>1651</v>
      </c>
      <c r="J18" s="233" t="s">
        <v>1020</v>
      </c>
      <c r="K18" s="234"/>
      <c r="L18" s="234"/>
      <c r="M18" s="235"/>
    </row>
    <row r="19" spans="2:13">
      <c r="C19" s="163">
        <v>18</v>
      </c>
      <c r="D19" s="173" t="s">
        <v>42</v>
      </c>
      <c r="E19" s="163" t="s">
        <v>43</v>
      </c>
      <c r="F19" s="163" t="s">
        <v>41</v>
      </c>
      <c r="G19" s="163" t="s">
        <v>1021</v>
      </c>
      <c r="H19" s="163" t="s">
        <v>110</v>
      </c>
      <c r="I19" s="163" t="s">
        <v>1652</v>
      </c>
      <c r="J19" s="236" t="s">
        <v>1022</v>
      </c>
      <c r="K19" s="237"/>
      <c r="L19" s="237"/>
      <c r="M19" s="238"/>
    </row>
    <row r="20" spans="2:13">
      <c r="C20" s="169">
        <v>19</v>
      </c>
      <c r="D20" s="169" t="s">
        <v>50</v>
      </c>
      <c r="E20" s="169" t="s">
        <v>51</v>
      </c>
      <c r="F20" s="169" t="s">
        <v>41</v>
      </c>
      <c r="G20" s="169" t="s">
        <v>1023</v>
      </c>
      <c r="H20" s="169" t="s">
        <v>110</v>
      </c>
      <c r="I20" s="169" t="s">
        <v>1653</v>
      </c>
      <c r="J20" s="233" t="s">
        <v>1024</v>
      </c>
      <c r="K20" s="234"/>
      <c r="L20" s="234"/>
      <c r="M20" s="235"/>
    </row>
    <row r="21" spans="2:13">
      <c r="C21" s="163">
        <v>20</v>
      </c>
      <c r="D21" s="173" t="s">
        <v>1025</v>
      </c>
      <c r="E21" s="163" t="s">
        <v>263</v>
      </c>
      <c r="F21" s="163" t="s">
        <v>54</v>
      </c>
      <c r="G21" s="163" t="s">
        <v>1026</v>
      </c>
      <c r="H21" s="163" t="s">
        <v>110</v>
      </c>
      <c r="I21" s="163" t="s">
        <v>1654</v>
      </c>
      <c r="J21" s="236" t="s">
        <v>1027</v>
      </c>
      <c r="K21" s="237"/>
      <c r="L21" s="237"/>
      <c r="M21" s="238"/>
    </row>
    <row r="22" spans="2:13">
      <c r="C22" s="169">
        <v>21</v>
      </c>
      <c r="D22" s="169" t="s">
        <v>1028</v>
      </c>
      <c r="E22" s="169" t="s">
        <v>269</v>
      </c>
      <c r="F22" s="169" t="s">
        <v>54</v>
      </c>
      <c r="G22" s="169" t="s">
        <v>1029</v>
      </c>
      <c r="H22" s="169" t="s">
        <v>110</v>
      </c>
      <c r="I22" s="169" t="s">
        <v>1655</v>
      </c>
      <c r="J22" s="233" t="s">
        <v>1027</v>
      </c>
      <c r="K22" s="234"/>
      <c r="L22" s="234"/>
      <c r="M22" s="235"/>
    </row>
    <row r="23" spans="2:13">
      <c r="C23" s="163">
        <v>22</v>
      </c>
      <c r="D23" s="173" t="s">
        <v>52</v>
      </c>
      <c r="E23" s="163" t="s">
        <v>53</v>
      </c>
      <c r="F23" s="163" t="s">
        <v>54</v>
      </c>
      <c r="G23" s="163" t="s">
        <v>1030</v>
      </c>
      <c r="H23" s="163" t="s">
        <v>110</v>
      </c>
      <c r="I23" s="163" t="s">
        <v>1656</v>
      </c>
      <c r="J23" s="236" t="s">
        <v>1027</v>
      </c>
      <c r="K23" s="237"/>
      <c r="L23" s="237"/>
      <c r="M23" s="238"/>
    </row>
    <row r="24" spans="2:13" ht="15.75">
      <c r="B24" s="184" t="s">
        <v>1118</v>
      </c>
      <c r="C24" s="169">
        <v>23</v>
      </c>
      <c r="D24" s="174" t="s">
        <v>1679</v>
      </c>
      <c r="E24" s="169" t="s">
        <v>1680</v>
      </c>
      <c r="F24" s="169" t="s">
        <v>54</v>
      </c>
      <c r="G24" s="169" t="s">
        <v>1681</v>
      </c>
      <c r="H24" s="169" t="s">
        <v>110</v>
      </c>
      <c r="I24" s="169" t="s">
        <v>1682</v>
      </c>
      <c r="J24" s="233" t="s">
        <v>1034</v>
      </c>
      <c r="K24" s="234"/>
      <c r="L24" s="234"/>
      <c r="M24" s="235"/>
    </row>
    <row r="25" spans="2:13" ht="15.75">
      <c r="C25" s="163">
        <v>24</v>
      </c>
      <c r="D25" s="175" t="s">
        <v>64</v>
      </c>
      <c r="E25" s="173" t="s">
        <v>1031</v>
      </c>
      <c r="F25" s="163" t="s">
        <v>1032</v>
      </c>
      <c r="G25" s="163" t="s">
        <v>1033</v>
      </c>
      <c r="H25" s="163" t="s">
        <v>110</v>
      </c>
      <c r="I25" s="163" t="s">
        <v>1657</v>
      </c>
      <c r="J25" s="236" t="s">
        <v>1037</v>
      </c>
      <c r="K25" s="237"/>
      <c r="L25" s="237"/>
      <c r="M25" s="238"/>
    </row>
    <row r="26" spans="2:13" ht="15.75">
      <c r="C26" s="169">
        <v>25</v>
      </c>
      <c r="D26" s="174" t="s">
        <v>66</v>
      </c>
      <c r="E26" s="169" t="s">
        <v>1035</v>
      </c>
      <c r="F26" s="169" t="s">
        <v>1032</v>
      </c>
      <c r="G26" s="169" t="s">
        <v>1036</v>
      </c>
      <c r="H26" s="169" t="s">
        <v>110</v>
      </c>
      <c r="I26" s="169" t="s">
        <v>1658</v>
      </c>
      <c r="J26" s="233" t="s">
        <v>1040</v>
      </c>
      <c r="K26" s="234"/>
      <c r="L26" s="234"/>
      <c r="M26" s="235"/>
    </row>
    <row r="27" spans="2:13" ht="15.75">
      <c r="C27" s="163">
        <v>26</v>
      </c>
      <c r="D27" s="175" t="s">
        <v>62</v>
      </c>
      <c r="E27" s="173" t="s">
        <v>1038</v>
      </c>
      <c r="F27" s="163" t="s">
        <v>1032</v>
      </c>
      <c r="G27" s="163" t="s">
        <v>1039</v>
      </c>
      <c r="H27" s="163" t="s">
        <v>110</v>
      </c>
      <c r="I27" s="163" t="s">
        <v>1659</v>
      </c>
      <c r="J27" s="236" t="s">
        <v>1043</v>
      </c>
      <c r="K27" s="237"/>
      <c r="L27" s="237"/>
      <c r="M27" s="238"/>
    </row>
    <row r="28" spans="2:13">
      <c r="C28" s="169">
        <v>27</v>
      </c>
      <c r="D28" s="169" t="s">
        <v>69</v>
      </c>
      <c r="E28" s="169" t="s">
        <v>1041</v>
      </c>
      <c r="F28" s="169" t="s">
        <v>1032</v>
      </c>
      <c r="G28" s="169" t="s">
        <v>1042</v>
      </c>
      <c r="H28" s="169" t="s">
        <v>110</v>
      </c>
      <c r="I28" s="169" t="s">
        <v>1660</v>
      </c>
      <c r="J28" s="230"/>
      <c r="K28" s="230"/>
      <c r="L28" s="230"/>
      <c r="M28" s="230"/>
    </row>
    <row r="29" spans="2:13">
      <c r="C29" s="163">
        <v>28</v>
      </c>
      <c r="D29" s="163"/>
      <c r="E29" s="163"/>
      <c r="F29" s="163"/>
      <c r="G29" s="163"/>
      <c r="H29" s="163" t="s">
        <v>110</v>
      </c>
      <c r="I29" s="163" t="str">
        <f t="shared" ref="I29:I30" si="0">CONCATENATE(G29,H29,E29)</f>
        <v>_</v>
      </c>
      <c r="J29" s="232"/>
      <c r="K29" s="232"/>
      <c r="L29" s="232"/>
      <c r="M29" s="232"/>
    </row>
    <row r="30" spans="2:13">
      <c r="C30" s="169">
        <v>29</v>
      </c>
      <c r="D30" s="169"/>
      <c r="E30" s="169"/>
      <c r="F30" s="169"/>
      <c r="G30" s="169"/>
      <c r="H30" s="169" t="s">
        <v>110</v>
      </c>
      <c r="I30" s="169" t="str">
        <f t="shared" si="0"/>
        <v>_</v>
      </c>
      <c r="J30" s="230"/>
      <c r="K30" s="230"/>
      <c r="L30" s="230"/>
      <c r="M30" s="230"/>
    </row>
    <row r="33" spans="2:15">
      <c r="B33" s="74"/>
      <c r="C33" s="163"/>
      <c r="D33" s="74" t="s">
        <v>706</v>
      </c>
      <c r="E33" s="74" t="s">
        <v>1044</v>
      </c>
      <c r="F33" s="19"/>
      <c r="G33" s="19" t="s">
        <v>1045</v>
      </c>
      <c r="H33" s="163"/>
      <c r="I33" s="19" t="s">
        <v>1046</v>
      </c>
      <c r="J33" s="19" t="s">
        <v>1047</v>
      </c>
      <c r="K33" s="19" t="s">
        <v>1048</v>
      </c>
      <c r="L33" s="19" t="s">
        <v>1049</v>
      </c>
      <c r="M33" s="19" t="s">
        <v>1050</v>
      </c>
      <c r="N33" s="19" t="s">
        <v>1051</v>
      </c>
      <c r="O33" s="19" t="s">
        <v>1052</v>
      </c>
    </row>
    <row r="34" spans="2:15" ht="15.75">
      <c r="B34" s="74"/>
      <c r="C34" s="26">
        <v>1</v>
      </c>
      <c r="D34" s="176" t="s">
        <v>1053</v>
      </c>
      <c r="E34" s="177">
        <v>1</v>
      </c>
      <c r="F34" s="176"/>
      <c r="G34" s="178" t="s">
        <v>1054</v>
      </c>
      <c r="H34" s="178" t="s">
        <v>110</v>
      </c>
      <c r="I34" s="179" t="str">
        <f>CONCATENATE(G34,H34,D34)</f>
        <v>FB_PV01_Plate Infeed Conveyor Diverter</v>
      </c>
      <c r="J34" s="178" t="s">
        <v>1047</v>
      </c>
      <c r="K34" s="178" t="s">
        <v>1048</v>
      </c>
      <c r="L34" s="178"/>
      <c r="M34" s="178"/>
      <c r="N34" s="178"/>
      <c r="O34" s="178"/>
    </row>
    <row r="35" spans="2:15" ht="15.75">
      <c r="B35" s="51" t="s">
        <v>1055</v>
      </c>
      <c r="C35" s="69">
        <v>2</v>
      </c>
      <c r="D35" s="51" t="s">
        <v>1056</v>
      </c>
      <c r="E35" s="26">
        <v>1</v>
      </c>
      <c r="F35" s="51"/>
      <c r="G35" s="19" t="s">
        <v>1057</v>
      </c>
      <c r="H35" s="19" t="s">
        <v>110</v>
      </c>
      <c r="I35" s="180" t="str">
        <f>CONCATENATE(G35,H35,D35)</f>
        <v>FB_PV02_Linear Feeder 01 Exit Stopper</v>
      </c>
      <c r="J35" s="19" t="s">
        <v>1058</v>
      </c>
      <c r="K35" s="19" t="s">
        <v>1059</v>
      </c>
      <c r="L35" s="19"/>
      <c r="M35" s="19"/>
      <c r="N35" s="19"/>
      <c r="O35" s="19"/>
    </row>
    <row r="36" spans="2:15" ht="15.75">
      <c r="B36" s="181" t="s">
        <v>1060</v>
      </c>
      <c r="C36" s="69">
        <v>3</v>
      </c>
      <c r="D36" s="176" t="s">
        <v>1061</v>
      </c>
      <c r="E36" s="177">
        <v>1</v>
      </c>
      <c r="F36" s="176"/>
      <c r="G36" s="178" t="s">
        <v>1062</v>
      </c>
      <c r="H36" s="178" t="s">
        <v>110</v>
      </c>
      <c r="I36" s="179" t="str">
        <f t="shared" ref="I36:I67" si="1">CONCATENATE(G36,H36,D36)</f>
        <v>FB_PV03_Linear Feeder 02 Exit Stopper</v>
      </c>
      <c r="J36" s="178" t="s">
        <v>1058</v>
      </c>
      <c r="K36" s="178" t="s">
        <v>1059</v>
      </c>
      <c r="L36" s="178"/>
      <c r="M36" s="178"/>
      <c r="N36" s="178"/>
      <c r="O36" s="178"/>
    </row>
    <row r="37" spans="2:15" ht="15.75">
      <c r="B37" s="51" t="s">
        <v>1063</v>
      </c>
      <c r="C37" s="69">
        <v>4</v>
      </c>
      <c r="D37" s="51" t="s">
        <v>1055</v>
      </c>
      <c r="E37" s="26">
        <v>1</v>
      </c>
      <c r="F37" s="51"/>
      <c r="G37" s="19" t="s">
        <v>1064</v>
      </c>
      <c r="H37" s="19" t="s">
        <v>110</v>
      </c>
      <c r="I37" s="180" t="str">
        <f t="shared" si="1"/>
        <v>FB_PV04_Plate Handling ROBOT 01 Gripper</v>
      </c>
      <c r="J37" s="19" t="s">
        <v>1065</v>
      </c>
      <c r="K37" s="19" t="s">
        <v>1066</v>
      </c>
      <c r="L37" s="19"/>
      <c r="M37" s="19"/>
      <c r="N37" s="19"/>
      <c r="O37" s="19"/>
    </row>
    <row r="38" spans="2:15" ht="15.75">
      <c r="B38" s="182" t="s">
        <v>1067</v>
      </c>
      <c r="C38" s="69">
        <v>5</v>
      </c>
      <c r="D38" s="182" t="s">
        <v>1063</v>
      </c>
      <c r="E38" s="177">
        <v>1</v>
      </c>
      <c r="F38" s="182"/>
      <c r="G38" s="178" t="s">
        <v>1068</v>
      </c>
      <c r="H38" s="178" t="s">
        <v>110</v>
      </c>
      <c r="I38" s="179" t="str">
        <f t="shared" si="1"/>
        <v>FB_PV05_Tray 01 Side Guide</v>
      </c>
      <c r="J38" s="178" t="s">
        <v>1065</v>
      </c>
      <c r="K38" s="178" t="s">
        <v>1066</v>
      </c>
      <c r="L38" s="178"/>
      <c r="M38" s="178"/>
      <c r="N38" s="178"/>
      <c r="O38" s="178"/>
    </row>
    <row r="39" spans="2:15" ht="15.75">
      <c r="B39" s="86" t="s">
        <v>1069</v>
      </c>
      <c r="C39" s="69">
        <v>6</v>
      </c>
      <c r="D39" s="86" t="s">
        <v>1067</v>
      </c>
      <c r="E39" s="26">
        <v>1</v>
      </c>
      <c r="F39" s="86"/>
      <c r="G39" s="19" t="s">
        <v>1070</v>
      </c>
      <c r="H39" s="19" t="s">
        <v>110</v>
      </c>
      <c r="I39" s="180" t="str">
        <f t="shared" si="1"/>
        <v>FB_PV06_Tray 01 Front Guide</v>
      </c>
      <c r="J39" s="19" t="s">
        <v>1071</v>
      </c>
      <c r="K39" s="19" t="s">
        <v>1072</v>
      </c>
      <c r="L39" s="19"/>
      <c r="M39" s="19"/>
      <c r="N39" s="19"/>
      <c r="O39" s="19"/>
    </row>
    <row r="40" spans="2:15" ht="15.75">
      <c r="B40" s="182" t="s">
        <v>579</v>
      </c>
      <c r="C40" s="69">
        <v>7</v>
      </c>
      <c r="D40" s="182" t="s">
        <v>1069</v>
      </c>
      <c r="E40" s="177">
        <v>2</v>
      </c>
      <c r="F40" s="182"/>
      <c r="G40" s="178" t="s">
        <v>1073</v>
      </c>
      <c r="H40" s="178" t="s">
        <v>110</v>
      </c>
      <c r="I40" s="179" t="str">
        <f t="shared" si="1"/>
        <v>FB_PV07_Tray 01 Stopper 01/02</v>
      </c>
      <c r="J40" s="178" t="s">
        <v>1071</v>
      </c>
      <c r="K40" s="178" t="s">
        <v>1072</v>
      </c>
      <c r="L40" s="178"/>
      <c r="M40" s="178"/>
      <c r="N40" s="178"/>
      <c r="O40" s="178"/>
    </row>
    <row r="41" spans="2:15" ht="15.75">
      <c r="B41" s="86" t="s">
        <v>1074</v>
      </c>
      <c r="C41" s="69">
        <v>8</v>
      </c>
      <c r="D41" s="86" t="s">
        <v>579</v>
      </c>
      <c r="E41" s="26">
        <v>1</v>
      </c>
      <c r="F41" s="86"/>
      <c r="G41" s="19" t="s">
        <v>1075</v>
      </c>
      <c r="H41" s="19" t="s">
        <v>110</v>
      </c>
      <c r="I41" s="180" t="str">
        <f t="shared" si="1"/>
        <v>FB_PV08_Tray 01 Pusher UP FB</v>
      </c>
      <c r="J41" s="19" t="s">
        <v>1058</v>
      </c>
      <c r="K41" s="19" t="s">
        <v>1059</v>
      </c>
      <c r="L41" s="19"/>
      <c r="M41" s="19"/>
      <c r="N41" s="19"/>
      <c r="O41" s="19"/>
    </row>
    <row r="42" spans="2:15" ht="15.75">
      <c r="B42" s="183" t="s">
        <v>1076</v>
      </c>
      <c r="C42" s="69">
        <v>9</v>
      </c>
      <c r="D42" s="184" t="s">
        <v>1074</v>
      </c>
      <c r="E42" s="177">
        <v>1</v>
      </c>
      <c r="F42" s="182"/>
      <c r="G42" s="178" t="s">
        <v>1077</v>
      </c>
      <c r="H42" s="178" t="s">
        <v>110</v>
      </c>
      <c r="I42" s="179" t="str">
        <f t="shared" si="1"/>
        <v>FB_PV09_Plate Handling ROBOT 02 Gripper</v>
      </c>
      <c r="J42" s="178" t="s">
        <v>1058</v>
      </c>
      <c r="K42" s="178" t="s">
        <v>1059</v>
      </c>
      <c r="L42" s="178"/>
      <c r="M42" s="178"/>
      <c r="N42" s="178"/>
      <c r="O42" s="178"/>
    </row>
    <row r="43" spans="2:15" ht="15.75">
      <c r="B43" s="74"/>
      <c r="C43" s="26">
        <v>10</v>
      </c>
      <c r="D43" s="86" t="s">
        <v>1078</v>
      </c>
      <c r="E43" s="26">
        <v>1</v>
      </c>
      <c r="F43" s="86"/>
      <c r="G43" s="19" t="s">
        <v>1079</v>
      </c>
      <c r="H43" s="19" t="s">
        <v>110</v>
      </c>
      <c r="I43" s="180" t="str">
        <f t="shared" si="1"/>
        <v>FB_PV10_Tray 02 Side Guide</v>
      </c>
      <c r="J43" s="19" t="s">
        <v>1065</v>
      </c>
      <c r="K43" s="19" t="s">
        <v>1066</v>
      </c>
      <c r="L43" s="19"/>
      <c r="M43" s="19"/>
      <c r="N43" s="19"/>
      <c r="O43" s="19"/>
    </row>
    <row r="44" spans="2:15" ht="15.75">
      <c r="B44" s="74"/>
      <c r="C44" s="26">
        <v>11</v>
      </c>
      <c r="D44" s="182" t="s">
        <v>1080</v>
      </c>
      <c r="E44" s="177">
        <v>1</v>
      </c>
      <c r="F44" s="182"/>
      <c r="G44" s="178" t="s">
        <v>1081</v>
      </c>
      <c r="H44" s="178" t="s">
        <v>110</v>
      </c>
      <c r="I44" s="179" t="str">
        <f t="shared" si="1"/>
        <v>FB_PV11_Tray 02 Front Guide</v>
      </c>
      <c r="J44" s="178" t="s">
        <v>1065</v>
      </c>
      <c r="K44" s="178" t="s">
        <v>1066</v>
      </c>
      <c r="L44" s="178"/>
      <c r="M44" s="178"/>
      <c r="N44" s="178"/>
      <c r="O44" s="178"/>
    </row>
    <row r="45" spans="2:15" ht="15.75">
      <c r="B45" s="74"/>
      <c r="C45" s="26">
        <v>12</v>
      </c>
      <c r="D45" s="86" t="s">
        <v>1082</v>
      </c>
      <c r="E45" s="26">
        <v>2</v>
      </c>
      <c r="F45" s="86"/>
      <c r="G45" s="19" t="s">
        <v>1083</v>
      </c>
      <c r="H45" s="19" t="s">
        <v>110</v>
      </c>
      <c r="I45" s="180" t="str">
        <f t="shared" si="1"/>
        <v>FB_PV12_Tray 02 Stopper 01/02</v>
      </c>
      <c r="J45" s="19" t="s">
        <v>1071</v>
      </c>
      <c r="K45" s="19" t="s">
        <v>1072</v>
      </c>
      <c r="L45" s="19"/>
      <c r="M45" s="19"/>
      <c r="N45" s="19"/>
      <c r="O45" s="19"/>
    </row>
    <row r="46" spans="2:15" ht="15.75">
      <c r="B46" s="74"/>
      <c r="C46" s="26">
        <v>13</v>
      </c>
      <c r="D46" s="182" t="s">
        <v>604</v>
      </c>
      <c r="E46" s="177">
        <v>1</v>
      </c>
      <c r="F46" s="182"/>
      <c r="G46" s="178" t="s">
        <v>1084</v>
      </c>
      <c r="H46" s="178" t="s">
        <v>110</v>
      </c>
      <c r="I46" s="179" t="str">
        <f t="shared" si="1"/>
        <v>FB_PV13_Tray 02 Pusher UP FB</v>
      </c>
      <c r="J46" s="178" t="s">
        <v>1071</v>
      </c>
      <c r="K46" s="178" t="s">
        <v>1072</v>
      </c>
      <c r="L46" s="178"/>
      <c r="M46" s="178"/>
      <c r="N46" s="178"/>
      <c r="O46" s="178"/>
    </row>
    <row r="47" spans="2:15" ht="15.75">
      <c r="B47" s="74"/>
      <c r="C47" s="26">
        <v>14</v>
      </c>
      <c r="D47" s="86" t="s">
        <v>1085</v>
      </c>
      <c r="E47" s="26">
        <v>1</v>
      </c>
      <c r="F47" s="86"/>
      <c r="G47" s="19" t="s">
        <v>1086</v>
      </c>
      <c r="H47" s="19" t="s">
        <v>110</v>
      </c>
      <c r="I47" s="180" t="str">
        <f t="shared" si="1"/>
        <v>FB_PV14_Tray Insertion Servo Slide Pusher</v>
      </c>
      <c r="J47" s="19" t="s">
        <v>1071</v>
      </c>
      <c r="K47" s="19" t="s">
        <v>1072</v>
      </c>
      <c r="L47" s="19"/>
      <c r="M47" s="19"/>
      <c r="N47" s="19"/>
      <c r="O47" s="19"/>
    </row>
    <row r="48" spans="2:15" ht="15.75">
      <c r="B48" s="74"/>
      <c r="C48" s="26">
        <v>15</v>
      </c>
      <c r="D48" s="182" t="s">
        <v>1087</v>
      </c>
      <c r="E48" s="177">
        <v>1</v>
      </c>
      <c r="F48" s="182"/>
      <c r="G48" s="178" t="s">
        <v>1088</v>
      </c>
      <c r="H48" s="178" t="s">
        <v>110</v>
      </c>
      <c r="I48" s="179" t="str">
        <f t="shared" si="1"/>
        <v>FB_PV15_Tray Insertion Servo Tray Stopper</v>
      </c>
      <c r="J48" s="178" t="s">
        <v>1071</v>
      </c>
      <c r="K48" s="178" t="s">
        <v>1072</v>
      </c>
      <c r="L48" s="178"/>
      <c r="M48" s="178"/>
      <c r="N48" s="178"/>
      <c r="O48" s="178"/>
    </row>
    <row r="49" spans="2:15" ht="15.75">
      <c r="B49" s="74"/>
      <c r="C49" s="26">
        <v>16</v>
      </c>
      <c r="D49" s="86" t="s">
        <v>1089</v>
      </c>
      <c r="E49" s="26">
        <v>2</v>
      </c>
      <c r="F49" s="86"/>
      <c r="G49" s="19" t="s">
        <v>1090</v>
      </c>
      <c r="H49" s="19" t="s">
        <v>110</v>
      </c>
      <c r="I49" s="180" t="str">
        <f t="shared" si="1"/>
        <v>FB_PV16_Bag Opening Swing Arm1/2</v>
      </c>
      <c r="J49" s="19" t="s">
        <v>1091</v>
      </c>
      <c r="K49" s="19" t="s">
        <v>1092</v>
      </c>
      <c r="L49" s="19"/>
      <c r="M49" s="19"/>
      <c r="N49" s="19"/>
      <c r="O49" s="19"/>
    </row>
    <row r="50" spans="2:15" ht="15.75">
      <c r="B50" s="74"/>
      <c r="C50" s="26">
        <v>17</v>
      </c>
      <c r="D50" s="185" t="s">
        <v>1093</v>
      </c>
      <c r="E50" s="177">
        <v>1</v>
      </c>
      <c r="F50" s="185"/>
      <c r="G50" s="178" t="s">
        <v>1094</v>
      </c>
      <c r="H50" s="178" t="s">
        <v>110</v>
      </c>
      <c r="I50" s="179" t="str">
        <f t="shared" si="1"/>
        <v>FB_PV17_Bag Opening Swing Arm Stretch</v>
      </c>
      <c r="J50" s="178" t="s">
        <v>1091</v>
      </c>
      <c r="K50" s="178" t="s">
        <v>1092</v>
      </c>
      <c r="L50" s="178"/>
      <c r="M50" s="178"/>
      <c r="N50" s="178"/>
      <c r="O50" s="178"/>
    </row>
    <row r="51" spans="2:15" ht="15.75">
      <c r="B51" s="74"/>
      <c r="C51" s="26">
        <v>18</v>
      </c>
      <c r="D51" s="51" t="s">
        <v>1095</v>
      </c>
      <c r="E51" s="26">
        <v>1</v>
      </c>
      <c r="F51" s="51"/>
      <c r="G51" s="19" t="s">
        <v>1096</v>
      </c>
      <c r="H51" s="19" t="s">
        <v>110</v>
      </c>
      <c r="I51" s="180" t="str">
        <f t="shared" si="1"/>
        <v>FB_PV18_Bag Opening Vacuum Cup Lifter</v>
      </c>
      <c r="J51" s="19" t="s">
        <v>1071</v>
      </c>
      <c r="K51" s="19" t="s">
        <v>1072</v>
      </c>
      <c r="L51" s="19"/>
      <c r="M51" s="19"/>
      <c r="N51" s="19"/>
      <c r="O51" s="19"/>
    </row>
    <row r="52" spans="2:15" ht="15.75">
      <c r="B52" s="74"/>
      <c r="C52" s="26">
        <v>19</v>
      </c>
      <c r="D52" s="176" t="s">
        <v>1097</v>
      </c>
      <c r="E52" s="177">
        <v>1</v>
      </c>
      <c r="F52" s="176"/>
      <c r="G52" s="178" t="s">
        <v>1098</v>
      </c>
      <c r="H52" s="178" t="s">
        <v>110</v>
      </c>
      <c r="I52" s="179" t="str">
        <f t="shared" si="1"/>
        <v>FB_PV19_Tray Stacker Safety Cover Slide</v>
      </c>
      <c r="J52" s="178" t="s">
        <v>1047</v>
      </c>
      <c r="K52" s="178" t="s">
        <v>1048</v>
      </c>
      <c r="L52" s="178"/>
      <c r="M52" s="178"/>
      <c r="N52" s="178"/>
      <c r="O52" s="178"/>
    </row>
    <row r="53" spans="2:15" ht="15.75">
      <c r="B53" s="74"/>
      <c r="C53" s="26">
        <v>20</v>
      </c>
      <c r="D53" s="51" t="s">
        <v>1099</v>
      </c>
      <c r="E53" s="26">
        <v>1</v>
      </c>
      <c r="F53" s="51"/>
      <c r="G53" s="19" t="s">
        <v>1100</v>
      </c>
      <c r="H53" s="19" t="s">
        <v>110</v>
      </c>
      <c r="I53" s="180" t="str">
        <f t="shared" si="1"/>
        <v>FB_PV20_Tray Stacker 01 Tray Centering</v>
      </c>
      <c r="J53" s="19" t="s">
        <v>1091</v>
      </c>
      <c r="K53" s="19" t="s">
        <v>1092</v>
      </c>
      <c r="L53" s="19"/>
      <c r="M53" s="19"/>
      <c r="N53" s="19"/>
      <c r="O53" s="19"/>
    </row>
    <row r="54" spans="2:15" ht="15.75">
      <c r="B54" s="74"/>
      <c r="C54" s="26">
        <v>21</v>
      </c>
      <c r="D54" s="176" t="s">
        <v>1101</v>
      </c>
      <c r="E54" s="177">
        <v>1</v>
      </c>
      <c r="F54" s="176"/>
      <c r="G54" s="178" t="s">
        <v>1102</v>
      </c>
      <c r="H54" s="178" t="s">
        <v>110</v>
      </c>
      <c r="I54" s="179" t="str">
        <f t="shared" si="1"/>
        <v>FB_PV21_Tray Stacker 01 Tray Referencing</v>
      </c>
      <c r="J54" s="178" t="s">
        <v>1065</v>
      </c>
      <c r="K54" s="178" t="s">
        <v>1066</v>
      </c>
      <c r="L54" s="178"/>
      <c r="M54" s="178"/>
      <c r="N54" s="178"/>
      <c r="O54" s="178"/>
    </row>
    <row r="55" spans="2:15" ht="15.75">
      <c r="B55" s="74"/>
      <c r="C55" s="26">
        <v>22</v>
      </c>
      <c r="D55" s="51" t="s">
        <v>1103</v>
      </c>
      <c r="E55" s="26">
        <v>1</v>
      </c>
      <c r="F55" s="51"/>
      <c r="G55" s="19" t="s">
        <v>1104</v>
      </c>
      <c r="H55" s="19" t="s">
        <v>110</v>
      </c>
      <c r="I55" s="180" t="str">
        <f t="shared" si="1"/>
        <v>FB_PV22_Tray Stacker 02 Tray Centering</v>
      </c>
      <c r="J55" s="19" t="s">
        <v>1091</v>
      </c>
      <c r="K55" s="19" t="s">
        <v>1092</v>
      </c>
      <c r="L55" s="19"/>
      <c r="M55" s="19"/>
      <c r="N55" s="19"/>
      <c r="O55" s="19"/>
    </row>
    <row r="56" spans="2:15" ht="15.75">
      <c r="B56" s="74"/>
      <c r="C56" s="26">
        <v>23</v>
      </c>
      <c r="D56" s="176" t="s">
        <v>1105</v>
      </c>
      <c r="E56" s="177">
        <v>1</v>
      </c>
      <c r="F56" s="176"/>
      <c r="G56" s="178" t="s">
        <v>1106</v>
      </c>
      <c r="H56" s="178" t="s">
        <v>110</v>
      </c>
      <c r="I56" s="179" t="str">
        <f t="shared" si="1"/>
        <v>FB_PV23_Tray Stacker 02 Tray Referencing</v>
      </c>
      <c r="J56" s="178" t="s">
        <v>1065</v>
      </c>
      <c r="K56" s="178" t="s">
        <v>1066</v>
      </c>
      <c r="L56" s="178"/>
      <c r="M56" s="178"/>
      <c r="N56" s="178"/>
      <c r="O56" s="178"/>
    </row>
    <row r="57" spans="2:15" ht="15.75">
      <c r="B57" s="74"/>
      <c r="C57" s="26">
        <v>24</v>
      </c>
      <c r="D57" s="51" t="s">
        <v>1107</v>
      </c>
      <c r="E57" s="26">
        <v>1</v>
      </c>
      <c r="F57" s="51"/>
      <c r="G57" s="19" t="s">
        <v>1108</v>
      </c>
      <c r="H57" s="19" t="s">
        <v>110</v>
      </c>
      <c r="I57" s="180" t="str">
        <f t="shared" si="1"/>
        <v>FB_PV24_Tray Transfer ROBOT Tray Lifter</v>
      </c>
      <c r="J57" s="19" t="s">
        <v>1071</v>
      </c>
      <c r="K57" s="19" t="s">
        <v>1072</v>
      </c>
      <c r="L57" s="19"/>
      <c r="M57" s="19"/>
      <c r="N57" s="19"/>
      <c r="O57" s="19"/>
    </row>
    <row r="58" spans="2:15" ht="15.75">
      <c r="B58" s="74"/>
      <c r="C58" s="26">
        <v>25</v>
      </c>
      <c r="D58" s="176" t="s">
        <v>1109</v>
      </c>
      <c r="E58" s="177">
        <v>1</v>
      </c>
      <c r="F58" s="176"/>
      <c r="G58" s="178" t="s">
        <v>1110</v>
      </c>
      <c r="H58" s="178" t="s">
        <v>110</v>
      </c>
      <c r="I58" s="179" t="str">
        <f t="shared" si="1"/>
        <v>FB_PV25_Tray Transfer ROBOT Tray Vacuum Cup</v>
      </c>
      <c r="J58" s="186" t="s">
        <v>1111</v>
      </c>
      <c r="K58" s="178"/>
      <c r="L58" s="178"/>
      <c r="M58" s="178"/>
      <c r="N58" s="178"/>
      <c r="O58" s="178"/>
    </row>
    <row r="59" spans="2:15" ht="15.75">
      <c r="B59" s="74"/>
      <c r="C59" s="26">
        <v>26</v>
      </c>
      <c r="D59" s="51" t="s">
        <v>1112</v>
      </c>
      <c r="E59" s="26">
        <v>1</v>
      </c>
      <c r="F59" s="51"/>
      <c r="G59" s="19" t="s">
        <v>1113</v>
      </c>
      <c r="H59" s="19" t="s">
        <v>110</v>
      </c>
      <c r="I59" s="180" t="str">
        <f t="shared" si="1"/>
        <v>FB_PV26_Bag Transfer Robot Vacuum Cup</v>
      </c>
      <c r="J59" s="186" t="s">
        <v>1111</v>
      </c>
      <c r="K59" s="19"/>
      <c r="L59" s="19"/>
      <c r="M59" s="19"/>
      <c r="N59" s="19"/>
      <c r="O59" s="19"/>
    </row>
    <row r="60" spans="2:15" ht="15.75">
      <c r="B60" s="74"/>
      <c r="C60" s="26">
        <v>27</v>
      </c>
      <c r="D60" s="184" t="s">
        <v>1114</v>
      </c>
      <c r="E60" s="177">
        <v>1</v>
      </c>
      <c r="F60" s="187"/>
      <c r="G60" s="178" t="s">
        <v>1115</v>
      </c>
      <c r="H60" s="178" t="s">
        <v>110</v>
      </c>
      <c r="I60" s="179" t="str">
        <f t="shared" si="1"/>
        <v>FB_PV27_Sealing Unit Heating Jaw</v>
      </c>
      <c r="J60" s="178" t="s">
        <v>1071</v>
      </c>
      <c r="K60" s="178" t="s">
        <v>1072</v>
      </c>
      <c r="L60" s="178"/>
      <c r="M60" s="178"/>
      <c r="N60" s="178"/>
      <c r="O60" s="178"/>
    </row>
    <row r="61" spans="2:15" ht="15.75">
      <c r="B61" s="74"/>
      <c r="C61" s="26">
        <v>28</v>
      </c>
      <c r="D61" s="86" t="s">
        <v>1116</v>
      </c>
      <c r="E61" s="26">
        <v>2</v>
      </c>
      <c r="F61" s="163"/>
      <c r="G61" s="19" t="s">
        <v>1117</v>
      </c>
      <c r="H61" s="19" t="s">
        <v>110</v>
      </c>
      <c r="I61" s="180" t="str">
        <f t="shared" si="1"/>
        <v>FB_PV28_Sealing Unit Vacuum Jaw</v>
      </c>
      <c r="J61" s="19" t="s">
        <v>1065</v>
      </c>
      <c r="K61" s="19" t="s">
        <v>1066</v>
      </c>
      <c r="L61" s="19"/>
      <c r="M61" s="19"/>
      <c r="N61" s="19"/>
      <c r="O61" s="19"/>
    </row>
    <row r="62" spans="2:15" ht="15.75">
      <c r="B62" s="184" t="s">
        <v>1118</v>
      </c>
      <c r="C62" s="26">
        <v>29</v>
      </c>
      <c r="D62" s="184" t="s">
        <v>1119</v>
      </c>
      <c r="E62" s="177">
        <v>1</v>
      </c>
      <c r="F62" s="187"/>
      <c r="G62" s="178" t="s">
        <v>1120</v>
      </c>
      <c r="H62" s="178" t="s">
        <v>110</v>
      </c>
      <c r="I62" s="179" t="str">
        <f t="shared" si="1"/>
        <v>FB_PV29_Sealing Unit Bag Opening Cylinder</v>
      </c>
      <c r="J62" s="178" t="s">
        <v>1071</v>
      </c>
      <c r="K62" s="178" t="s">
        <v>1072</v>
      </c>
      <c r="L62" s="178"/>
      <c r="M62" s="178"/>
      <c r="N62" s="178"/>
      <c r="O62" s="178"/>
    </row>
    <row r="63" spans="2:15" ht="15.75">
      <c r="B63" s="184" t="s">
        <v>1118</v>
      </c>
      <c r="C63" s="26">
        <v>30</v>
      </c>
      <c r="D63" s="86" t="s">
        <v>1121</v>
      </c>
      <c r="E63" s="26">
        <v>1</v>
      </c>
      <c r="F63" s="163"/>
      <c r="G63" s="19" t="s">
        <v>1122</v>
      </c>
      <c r="H63" s="19" t="s">
        <v>110</v>
      </c>
      <c r="I63" s="180" t="str">
        <f t="shared" si="1"/>
        <v>FB_PV30_Tray Feeding Conveyor Buffer Stopper</v>
      </c>
      <c r="J63" s="19" t="s">
        <v>1071</v>
      </c>
      <c r="K63" s="19" t="s">
        <v>1072</v>
      </c>
      <c r="L63" s="19"/>
      <c r="M63" s="19"/>
      <c r="N63" s="19"/>
      <c r="O63" s="19"/>
    </row>
    <row r="64" spans="2:15" ht="15.75">
      <c r="B64" s="184" t="s">
        <v>1118</v>
      </c>
      <c r="C64" s="26">
        <v>31</v>
      </c>
      <c r="D64" s="184" t="s">
        <v>1678</v>
      </c>
      <c r="E64" s="177">
        <v>1</v>
      </c>
      <c r="F64" s="187"/>
      <c r="G64" s="178" t="s">
        <v>1123</v>
      </c>
      <c r="H64" s="178" t="s">
        <v>110</v>
      </c>
      <c r="I64" s="179" t="str">
        <f t="shared" si="1"/>
        <v>FB_PV31_Bag Opening Bottom Vacuum Cup</v>
      </c>
      <c r="J64" s="186" t="s">
        <v>1111</v>
      </c>
      <c r="K64" s="178"/>
      <c r="L64" s="178"/>
      <c r="M64" s="178"/>
      <c r="N64" s="178"/>
      <c r="O64" s="178"/>
    </row>
    <row r="65" spans="2:15" ht="15.75">
      <c r="B65" s="74"/>
      <c r="C65" s="26">
        <v>32</v>
      </c>
      <c r="D65" s="163"/>
      <c r="E65" s="26">
        <v>1</v>
      </c>
      <c r="F65" s="163"/>
      <c r="G65" s="19" t="s">
        <v>1124</v>
      </c>
      <c r="H65" s="19" t="s">
        <v>110</v>
      </c>
      <c r="I65" s="180" t="str">
        <f t="shared" si="1"/>
        <v>FB_PV32_</v>
      </c>
      <c r="J65" s="19"/>
      <c r="K65" s="19"/>
      <c r="L65" s="19"/>
      <c r="M65" s="19"/>
      <c r="N65" s="19"/>
      <c r="O65" s="19"/>
    </row>
    <row r="66" spans="2:15" ht="15.75">
      <c r="B66" s="74"/>
      <c r="C66" s="26">
        <v>33</v>
      </c>
      <c r="D66" s="187"/>
      <c r="E66" s="177">
        <v>1</v>
      </c>
      <c r="F66" s="187"/>
      <c r="G66" s="178" t="s">
        <v>1125</v>
      </c>
      <c r="H66" s="178" t="s">
        <v>110</v>
      </c>
      <c r="I66" s="179" t="str">
        <f t="shared" si="1"/>
        <v>FB_PV33_</v>
      </c>
      <c r="J66" s="178"/>
      <c r="K66" s="178"/>
      <c r="L66" s="178"/>
      <c r="M66" s="178"/>
      <c r="N66" s="178"/>
      <c r="O66" s="178"/>
    </row>
    <row r="67" spans="2:15" ht="15.75">
      <c r="B67" s="74"/>
      <c r="C67" s="26">
        <v>34</v>
      </c>
      <c r="D67" s="163"/>
      <c r="E67" s="163"/>
      <c r="F67" s="163"/>
      <c r="G67" s="19" t="s">
        <v>1126</v>
      </c>
      <c r="H67" s="19" t="s">
        <v>110</v>
      </c>
      <c r="I67" s="180" t="str">
        <f t="shared" si="1"/>
        <v>FB_PV34_</v>
      </c>
      <c r="J67" s="19"/>
      <c r="K67" s="19"/>
      <c r="L67" s="19"/>
      <c r="M67" s="19"/>
      <c r="N67" s="19"/>
      <c r="O67" s="19"/>
    </row>
  </sheetData>
  <mergeCells count="30">
    <mergeCell ref="J30:M30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18:M18"/>
    <mergeCell ref="J7:M7"/>
    <mergeCell ref="J8:M8"/>
    <mergeCell ref="J9:M9"/>
    <mergeCell ref="J10:M10"/>
    <mergeCell ref="J11:M11"/>
    <mergeCell ref="J12:M12"/>
    <mergeCell ref="J13:M13"/>
    <mergeCell ref="J14:M14"/>
    <mergeCell ref="J15:M15"/>
    <mergeCell ref="J16:M16"/>
    <mergeCell ref="J17:M17"/>
    <mergeCell ref="J6:M6"/>
    <mergeCell ref="J1:M1"/>
    <mergeCell ref="J2:M2"/>
    <mergeCell ref="J3:M3"/>
    <mergeCell ref="J4:M4"/>
    <mergeCell ref="J5:M5"/>
  </mergeCells>
  <conditionalFormatting sqref="D2:E7">
    <cfRule type="cellIs" dxfId="6" priority="7" operator="equal">
      <formula>"Pending"</formula>
    </cfRule>
  </conditionalFormatting>
  <conditionalFormatting sqref="D6:E6">
    <cfRule type="cellIs" dxfId="5" priority="6" operator="equal">
      <formula>"Pending"</formula>
    </cfRule>
  </conditionalFormatting>
  <conditionalFormatting sqref="D8:E8">
    <cfRule type="cellIs" dxfId="4" priority="5" operator="equal">
      <formula>"Pending"</formula>
    </cfRule>
  </conditionalFormatting>
  <conditionalFormatting sqref="D10:E10">
    <cfRule type="cellIs" dxfId="3" priority="4" operator="equal">
      <formula>"Pending"</formula>
    </cfRule>
  </conditionalFormatting>
  <conditionalFormatting sqref="D8:E8">
    <cfRule type="cellIs" dxfId="2" priority="3" operator="equal">
      <formula>"Pending"</formula>
    </cfRule>
  </conditionalFormatting>
  <conditionalFormatting sqref="D10:E10">
    <cfRule type="cellIs" dxfId="1" priority="2" operator="equal">
      <formula>"Pending"</formula>
    </cfRule>
  </conditionalFormatting>
  <conditionalFormatting sqref="D12:E12">
    <cfRule type="cellIs" dxfId="0" priority="1" operator="equal">
      <formula>"Pending"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9"/>
  <sheetViews>
    <sheetView topLeftCell="A162" workbookViewId="0">
      <selection activeCell="H234" sqref="H234"/>
    </sheetView>
  </sheetViews>
  <sheetFormatPr defaultRowHeight="15"/>
  <cols>
    <col min="2" max="2" width="6" bestFit="1" customWidth="1"/>
    <col min="3" max="3" width="10.28515625" bestFit="1" customWidth="1"/>
    <col min="4" max="4" width="1.42578125" bestFit="1" customWidth="1"/>
    <col min="5" max="5" width="10.5703125" bestFit="1" customWidth="1"/>
    <col min="6" max="6" width="47.7109375" bestFit="1" customWidth="1"/>
    <col min="7" max="7" width="28.7109375" bestFit="1" customWidth="1"/>
    <col min="8" max="8" width="59" bestFit="1" customWidth="1"/>
    <col min="9" max="9" width="33.28515625" bestFit="1" customWidth="1"/>
    <col min="10" max="10" width="8.140625" bestFit="1" customWidth="1"/>
    <col min="11" max="11" width="33.28515625" bestFit="1" customWidth="1"/>
  </cols>
  <sheetData>
    <row r="1" spans="2:9">
      <c r="B1" s="239" t="s">
        <v>1127</v>
      </c>
      <c r="C1" s="239"/>
      <c r="D1" s="239"/>
      <c r="E1" s="239"/>
      <c r="F1" s="239"/>
      <c r="G1" s="239"/>
      <c r="H1" s="239"/>
    </row>
    <row r="2" spans="2:9">
      <c r="B2" s="239" t="s">
        <v>1128</v>
      </c>
      <c r="C2" s="239"/>
      <c r="D2" s="239"/>
      <c r="E2" s="239"/>
      <c r="F2" s="239"/>
      <c r="G2" s="239"/>
      <c r="H2" s="239"/>
    </row>
    <row r="3" spans="2:9">
      <c r="B3" s="74" t="s">
        <v>1129</v>
      </c>
      <c r="C3" s="187" t="s">
        <v>1130</v>
      </c>
      <c r="D3" s="188"/>
      <c r="E3" s="188"/>
      <c r="F3" s="187" t="s">
        <v>18</v>
      </c>
      <c r="G3" s="187" t="s">
        <v>1131</v>
      </c>
      <c r="H3" s="187" t="s">
        <v>1132</v>
      </c>
    </row>
    <row r="4" spans="2:9">
      <c r="B4" s="74">
        <v>1</v>
      </c>
      <c r="C4" s="169" t="s">
        <v>1133</v>
      </c>
      <c r="D4" s="189" t="s">
        <v>1134</v>
      </c>
      <c r="E4" s="189"/>
      <c r="F4" s="169" t="s">
        <v>1663</v>
      </c>
      <c r="G4" s="169" t="s">
        <v>1135</v>
      </c>
      <c r="H4" s="169" t="str">
        <f>CONCATENATE(C4,D4,E4,F4,D4,G4)</f>
        <v>E001 AENTR IO 01 Communication  Faulted</v>
      </c>
      <c r="I4" s="163"/>
    </row>
    <row r="5" spans="2:9">
      <c r="B5" s="74">
        <v>2</v>
      </c>
      <c r="C5" s="169" t="s">
        <v>1136</v>
      </c>
      <c r="D5" s="189" t="s">
        <v>1134</v>
      </c>
      <c r="E5" s="189"/>
      <c r="F5" s="169" t="s">
        <v>1664</v>
      </c>
      <c r="G5" s="169" t="s">
        <v>1135</v>
      </c>
      <c r="H5" s="169" t="str">
        <f t="shared" ref="H5:H55" si="0">CONCATENATE(C5,D5,E5,F5,D5,G5)</f>
        <v>E002 AENTR IO 02 Communication  Faulted</v>
      </c>
      <c r="I5" s="163"/>
    </row>
    <row r="6" spans="2:9">
      <c r="B6" s="74">
        <v>3</v>
      </c>
      <c r="C6" s="169" t="s">
        <v>1138</v>
      </c>
      <c r="D6" s="189" t="s">
        <v>1134</v>
      </c>
      <c r="E6" s="189"/>
      <c r="F6" s="169" t="s">
        <v>991</v>
      </c>
      <c r="G6" s="169" t="s">
        <v>1135</v>
      </c>
      <c r="H6" s="169" t="str">
        <f t="shared" si="0"/>
        <v>E003 Remote IO 01 Communication  Faulted</v>
      </c>
      <c r="I6" s="163"/>
    </row>
    <row r="7" spans="2:9">
      <c r="B7" s="74">
        <v>4</v>
      </c>
      <c r="C7" s="169" t="s">
        <v>1140</v>
      </c>
      <c r="D7" s="189" t="s">
        <v>1134</v>
      </c>
      <c r="E7" s="189"/>
      <c r="F7" s="169" t="s">
        <v>1137</v>
      </c>
      <c r="G7" s="169" t="s">
        <v>1135</v>
      </c>
      <c r="H7" s="169" t="str">
        <f t="shared" si="0"/>
        <v>E004 Remote IO 02 Communication  Faulted</v>
      </c>
      <c r="I7" s="163"/>
    </row>
    <row r="8" spans="2:9">
      <c r="B8" s="74">
        <v>5</v>
      </c>
      <c r="C8" s="169" t="s">
        <v>1141</v>
      </c>
      <c r="D8" s="189" t="s">
        <v>1134</v>
      </c>
      <c r="E8" s="189"/>
      <c r="F8" s="169" t="s">
        <v>26</v>
      </c>
      <c r="G8" s="169" t="s">
        <v>1139</v>
      </c>
      <c r="H8" s="169" t="str">
        <f t="shared" si="0"/>
        <v>E005 Tray Pusher Servo 01 Drive Communication  Faulted</v>
      </c>
      <c r="I8" s="163"/>
    </row>
    <row r="9" spans="2:9">
      <c r="B9" s="74">
        <v>6</v>
      </c>
      <c r="C9" s="169" t="s">
        <v>1142</v>
      </c>
      <c r="D9" s="189" t="s">
        <v>1134</v>
      </c>
      <c r="E9" s="189"/>
      <c r="F9" s="169" t="s">
        <v>29</v>
      </c>
      <c r="G9" s="169" t="s">
        <v>1139</v>
      </c>
      <c r="H9" s="169" t="str">
        <f t="shared" si="0"/>
        <v>E006 Plate Pusher Servo 01 Drive Communication  Faulted</v>
      </c>
      <c r="I9" s="163"/>
    </row>
    <row r="10" spans="2:9">
      <c r="B10" s="74">
        <v>7</v>
      </c>
      <c r="C10" s="169" t="s">
        <v>1143</v>
      </c>
      <c r="D10" s="189" t="s">
        <v>1134</v>
      </c>
      <c r="E10" s="189"/>
      <c r="F10" s="169" t="s">
        <v>31</v>
      </c>
      <c r="G10" s="169" t="s">
        <v>1139</v>
      </c>
      <c r="H10" s="169" t="str">
        <f t="shared" si="0"/>
        <v>E007 Plate Guide Servo 01 Drive Communication  Faulted</v>
      </c>
      <c r="I10" s="163"/>
    </row>
    <row r="11" spans="2:9">
      <c r="B11" s="74">
        <v>8</v>
      </c>
      <c r="C11" s="169" t="s">
        <v>1144</v>
      </c>
      <c r="D11" s="189" t="s">
        <v>1134</v>
      </c>
      <c r="E11" s="189"/>
      <c r="F11" s="169" t="s">
        <v>33</v>
      </c>
      <c r="G11" s="169" t="s">
        <v>1139</v>
      </c>
      <c r="H11" s="169" t="str">
        <f t="shared" si="0"/>
        <v>E008 Tray Pusher Servo 02 Drive Communication  Faulted</v>
      </c>
      <c r="I11" s="163"/>
    </row>
    <row r="12" spans="2:9">
      <c r="B12" s="74">
        <v>9</v>
      </c>
      <c r="C12" s="169" t="s">
        <v>1145</v>
      </c>
      <c r="D12" s="189" t="s">
        <v>1134</v>
      </c>
      <c r="E12" s="189"/>
      <c r="F12" s="169" t="s">
        <v>35</v>
      </c>
      <c r="G12" s="169" t="s">
        <v>1139</v>
      </c>
      <c r="H12" s="169" t="str">
        <f t="shared" si="0"/>
        <v>E009 Plate Pusher Servo 02 Drive Communication  Faulted</v>
      </c>
      <c r="I12" s="163"/>
    </row>
    <row r="13" spans="2:9">
      <c r="B13" s="74">
        <v>10</v>
      </c>
      <c r="C13" s="169" t="s">
        <v>1146</v>
      </c>
      <c r="D13" s="189" t="s">
        <v>1134</v>
      </c>
      <c r="E13" s="189"/>
      <c r="F13" s="169" t="s">
        <v>37</v>
      </c>
      <c r="G13" s="169" t="s">
        <v>1139</v>
      </c>
      <c r="H13" s="169" t="str">
        <f t="shared" si="0"/>
        <v>E010 Plate Guide Servo 02 Drive Communication  Faulted</v>
      </c>
      <c r="I13" s="163"/>
    </row>
    <row r="14" spans="2:9">
      <c r="B14" s="74">
        <v>11</v>
      </c>
      <c r="C14" s="169" t="s">
        <v>1147</v>
      </c>
      <c r="D14" s="189" t="s">
        <v>1134</v>
      </c>
      <c r="E14" s="189"/>
      <c r="F14" s="169" t="s">
        <v>44</v>
      </c>
      <c r="G14" s="169" t="s">
        <v>1139</v>
      </c>
      <c r="H14" s="169" t="str">
        <f t="shared" si="0"/>
        <v>E011 Printer Assembly Servo Slide Drive Communication  Faulted</v>
      </c>
      <c r="I14" s="163"/>
    </row>
    <row r="15" spans="2:9">
      <c r="B15" s="74">
        <v>12</v>
      </c>
      <c r="C15" s="169" t="s">
        <v>1148</v>
      </c>
      <c r="D15" s="189" t="s">
        <v>1134</v>
      </c>
      <c r="E15" s="189"/>
      <c r="F15" s="169" t="s">
        <v>48</v>
      </c>
      <c r="G15" s="169" t="s">
        <v>1139</v>
      </c>
      <c r="H15" s="169" t="str">
        <f t="shared" si="0"/>
        <v>E012 Tray Insertion Servo Slide Drive Communication  Faulted</v>
      </c>
      <c r="I15" s="163"/>
    </row>
    <row r="16" spans="2:9">
      <c r="B16" s="74">
        <v>13</v>
      </c>
      <c r="C16" s="169" t="s">
        <v>1149</v>
      </c>
      <c r="D16" s="189" t="s">
        <v>1134</v>
      </c>
      <c r="E16" s="189"/>
      <c r="F16" s="169" t="s">
        <v>86</v>
      </c>
      <c r="G16" s="169" t="s">
        <v>1139</v>
      </c>
      <c r="H16" s="169" t="str">
        <f t="shared" si="0"/>
        <v>E013 Tray Stacker Servo 01 Drive Communication  Faulted</v>
      </c>
      <c r="I16" s="163"/>
    </row>
    <row r="17" spans="2:9">
      <c r="B17" s="74">
        <v>14</v>
      </c>
      <c r="C17" s="169" t="s">
        <v>1150</v>
      </c>
      <c r="D17" s="189" t="s">
        <v>1134</v>
      </c>
      <c r="E17" s="189"/>
      <c r="F17" s="169" t="s">
        <v>91</v>
      </c>
      <c r="G17" s="169" t="s">
        <v>1139</v>
      </c>
      <c r="H17" s="169" t="str">
        <f t="shared" si="0"/>
        <v>E014 Tray Stacker Servo 02 Drive Communication  Faulted</v>
      </c>
      <c r="I17" s="163"/>
    </row>
    <row r="18" spans="2:9">
      <c r="B18" s="74">
        <v>15</v>
      </c>
      <c r="C18" s="169" t="s">
        <v>1151</v>
      </c>
      <c r="D18" s="189" t="s">
        <v>1134</v>
      </c>
      <c r="E18" s="189"/>
      <c r="F18" s="169" t="s">
        <v>39</v>
      </c>
      <c r="G18" s="169" t="s">
        <v>1139</v>
      </c>
      <c r="H18" s="169" t="str">
        <f>CONCATENATE(C18,D18,E18,F18,D18,G18)</f>
        <v>E015 Plate Feeding Conveyor Drive Communication  Faulted</v>
      </c>
      <c r="I18" s="163"/>
    </row>
    <row r="19" spans="2:9">
      <c r="B19" s="74">
        <v>16</v>
      </c>
      <c r="C19" s="169" t="s">
        <v>1152</v>
      </c>
      <c r="D19" s="189" t="s">
        <v>1134</v>
      </c>
      <c r="E19" s="189"/>
      <c r="F19" s="169" t="s">
        <v>42</v>
      </c>
      <c r="G19" s="169" t="s">
        <v>1139</v>
      </c>
      <c r="H19" s="169" t="str">
        <f t="shared" si="0"/>
        <v>E016 Tray Feeding Conveyor Drive Communication  Faulted</v>
      </c>
      <c r="I19" s="163"/>
    </row>
    <row r="20" spans="2:9">
      <c r="B20" s="74">
        <v>17</v>
      </c>
      <c r="C20" s="169" t="s">
        <v>1154</v>
      </c>
      <c r="D20" s="189" t="s">
        <v>1134</v>
      </c>
      <c r="E20" s="189"/>
      <c r="F20" s="169" t="s">
        <v>50</v>
      </c>
      <c r="G20" s="169" t="s">
        <v>1139</v>
      </c>
      <c r="H20" s="169" t="str">
        <f t="shared" si="0"/>
        <v>E017 Sealing Conveyor Drive Communication  Faulted</v>
      </c>
      <c r="I20" s="163"/>
    </row>
    <row r="21" spans="2:9">
      <c r="B21" s="74">
        <v>18</v>
      </c>
      <c r="C21" s="169" t="s">
        <v>1156</v>
      </c>
      <c r="D21" s="189" t="s">
        <v>1134</v>
      </c>
      <c r="E21" s="189"/>
      <c r="F21" s="169" t="s">
        <v>1153</v>
      </c>
      <c r="G21" s="169" t="s">
        <v>1135</v>
      </c>
      <c r="H21" s="169" t="str">
        <f t="shared" si="0"/>
        <v>E018 Plate Handling ROBOT-01 Communication  Faulted</v>
      </c>
      <c r="I21" s="163"/>
    </row>
    <row r="22" spans="2:9">
      <c r="B22" s="74">
        <v>19</v>
      </c>
      <c r="C22" s="169" t="s">
        <v>1158</v>
      </c>
      <c r="D22" s="189" t="s">
        <v>1134</v>
      </c>
      <c r="E22" s="189"/>
      <c r="F22" s="169" t="s">
        <v>1155</v>
      </c>
      <c r="G22" s="169" t="s">
        <v>1135</v>
      </c>
      <c r="H22" s="169" t="str">
        <f t="shared" si="0"/>
        <v>E019 Plate Handling ROBOT-02 Communication  Faulted</v>
      </c>
      <c r="I22" s="163"/>
    </row>
    <row r="23" spans="2:9">
      <c r="B23" s="74">
        <v>20</v>
      </c>
      <c r="C23" s="169" t="s">
        <v>1160</v>
      </c>
      <c r="D23" s="189" t="s">
        <v>1134</v>
      </c>
      <c r="E23" s="189"/>
      <c r="F23" s="169" t="s">
        <v>1157</v>
      </c>
      <c r="G23" s="169" t="s">
        <v>1135</v>
      </c>
      <c r="H23" s="169" t="str">
        <f t="shared" si="0"/>
        <v>E020 Tray Transfer Robot 01 Communication  Faulted</v>
      </c>
      <c r="I23" s="163"/>
    </row>
    <row r="24" spans="2:9">
      <c r="B24" s="74">
        <v>21</v>
      </c>
      <c r="C24" s="169" t="s">
        <v>1162</v>
      </c>
      <c r="D24" s="189" t="s">
        <v>1134</v>
      </c>
      <c r="E24" s="189"/>
      <c r="F24" s="169" t="s">
        <v>1159</v>
      </c>
      <c r="G24" s="169" t="s">
        <v>1135</v>
      </c>
      <c r="H24" s="169" t="str">
        <f t="shared" si="0"/>
        <v>E021 Bag Transfer Robot 01 Communication  Faulted</v>
      </c>
      <c r="I24" s="163"/>
    </row>
    <row r="25" spans="2:9">
      <c r="B25" s="74">
        <v>22</v>
      </c>
      <c r="C25" s="169" t="s">
        <v>1163</v>
      </c>
      <c r="D25" s="189" t="s">
        <v>1134</v>
      </c>
      <c r="E25" s="189"/>
      <c r="F25" s="169" t="s">
        <v>1161</v>
      </c>
      <c r="G25" s="169" t="s">
        <v>1135</v>
      </c>
      <c r="H25" s="169" t="str">
        <f t="shared" si="0"/>
        <v>E022 Valve Bank Communication  Faulted</v>
      </c>
      <c r="I25" s="163"/>
    </row>
    <row r="26" spans="2:9">
      <c r="B26" s="74">
        <v>23</v>
      </c>
      <c r="C26" s="169" t="s">
        <v>1164</v>
      </c>
      <c r="D26" s="189" t="s">
        <v>1134</v>
      </c>
      <c r="E26" s="189"/>
      <c r="F26" s="169" t="s">
        <v>1253</v>
      </c>
      <c r="G26" s="169"/>
      <c r="H26" s="169" t="str">
        <f t="shared" si="0"/>
        <v xml:space="preserve">E023 Spare </v>
      </c>
      <c r="I26" s="163"/>
    </row>
    <row r="27" spans="2:9">
      <c r="B27" s="74">
        <v>24</v>
      </c>
      <c r="C27" s="169" t="s">
        <v>1165</v>
      </c>
      <c r="D27" s="189" t="s">
        <v>1134</v>
      </c>
      <c r="E27" s="189"/>
      <c r="F27" s="169" t="s">
        <v>1253</v>
      </c>
      <c r="G27" s="169"/>
      <c r="H27" s="169" t="str">
        <f t="shared" si="0"/>
        <v xml:space="preserve">E024 Spare </v>
      </c>
      <c r="I27" s="163"/>
    </row>
    <row r="28" spans="2:9">
      <c r="B28" s="74">
        <v>25</v>
      </c>
      <c r="C28" s="169" t="s">
        <v>1166</v>
      </c>
      <c r="D28" s="189" t="s">
        <v>1134</v>
      </c>
      <c r="E28" s="189"/>
      <c r="F28" s="169"/>
      <c r="G28" s="169"/>
      <c r="H28" s="169" t="str">
        <f t="shared" si="0"/>
        <v xml:space="preserve">E025  </v>
      </c>
      <c r="I28" s="163"/>
    </row>
    <row r="29" spans="2:9">
      <c r="B29" s="74">
        <v>26</v>
      </c>
      <c r="C29" s="169" t="s">
        <v>1167</v>
      </c>
      <c r="D29" s="189" t="s">
        <v>1134</v>
      </c>
      <c r="E29" s="189"/>
      <c r="F29" s="169"/>
      <c r="G29" s="169"/>
      <c r="H29" s="169" t="str">
        <f t="shared" si="0"/>
        <v xml:space="preserve">E026  </v>
      </c>
      <c r="I29" s="163"/>
    </row>
    <row r="30" spans="2:9">
      <c r="B30" s="74">
        <v>27</v>
      </c>
      <c r="C30" s="169" t="s">
        <v>1168</v>
      </c>
      <c r="D30" s="189" t="s">
        <v>1134</v>
      </c>
      <c r="E30" s="189"/>
      <c r="F30" s="169"/>
      <c r="G30" s="169"/>
      <c r="H30" s="169" t="str">
        <f t="shared" si="0"/>
        <v xml:space="preserve">E027  </v>
      </c>
      <c r="I30" s="163"/>
    </row>
    <row r="31" spans="2:9">
      <c r="B31" s="74">
        <v>28</v>
      </c>
      <c r="C31" s="169" t="s">
        <v>1169</v>
      </c>
      <c r="D31" s="189" t="s">
        <v>1134</v>
      </c>
      <c r="E31" s="189"/>
      <c r="F31" s="169"/>
      <c r="G31" s="169"/>
      <c r="H31" s="169" t="str">
        <f t="shared" si="0"/>
        <v xml:space="preserve">E028  </v>
      </c>
      <c r="I31" s="163"/>
    </row>
    <row r="32" spans="2:9">
      <c r="B32" s="74">
        <v>29</v>
      </c>
      <c r="C32" s="169" t="s">
        <v>1170</v>
      </c>
      <c r="D32" s="189" t="s">
        <v>1134</v>
      </c>
      <c r="E32" s="189"/>
      <c r="F32" s="169"/>
      <c r="G32" s="169"/>
      <c r="H32" s="169" t="str">
        <f t="shared" si="0"/>
        <v xml:space="preserve">E029  </v>
      </c>
      <c r="I32" s="163"/>
    </row>
    <row r="33" spans="2:9">
      <c r="B33" s="74">
        <v>30</v>
      </c>
      <c r="C33" s="169" t="s">
        <v>1171</v>
      </c>
      <c r="D33" s="189" t="s">
        <v>1134</v>
      </c>
      <c r="E33" s="189"/>
      <c r="F33" s="169"/>
      <c r="G33" s="169"/>
      <c r="H33" s="169" t="str">
        <f t="shared" si="0"/>
        <v xml:space="preserve">E030  </v>
      </c>
      <c r="I33" s="163"/>
    </row>
    <row r="34" spans="2:9">
      <c r="B34" s="74">
        <v>31</v>
      </c>
      <c r="C34" s="169" t="s">
        <v>1172</v>
      </c>
      <c r="D34" s="189" t="s">
        <v>1134</v>
      </c>
      <c r="E34" s="189"/>
      <c r="F34" s="169"/>
      <c r="G34" s="169"/>
      <c r="H34" s="169" t="str">
        <f t="shared" si="0"/>
        <v xml:space="preserve">E031  </v>
      </c>
      <c r="I34" s="163"/>
    </row>
    <row r="35" spans="2:9">
      <c r="B35" s="74">
        <v>32</v>
      </c>
      <c r="C35" s="169" t="s">
        <v>1173</v>
      </c>
      <c r="D35" s="189" t="s">
        <v>1134</v>
      </c>
      <c r="E35" s="189"/>
      <c r="F35" s="169"/>
      <c r="G35" s="169"/>
      <c r="H35" s="169" t="str">
        <f t="shared" si="0"/>
        <v xml:space="preserve">E032  </v>
      </c>
      <c r="I35" s="163"/>
    </row>
    <row r="36" spans="2:9">
      <c r="B36" s="74">
        <v>33</v>
      </c>
      <c r="C36" s="190" t="s">
        <v>1174</v>
      </c>
      <c r="D36" s="191" t="s">
        <v>1134</v>
      </c>
      <c r="E36" s="191"/>
      <c r="F36" s="190" t="s">
        <v>1175</v>
      </c>
      <c r="G36" s="190" t="s">
        <v>1176</v>
      </c>
      <c r="H36" s="190" t="str">
        <f t="shared" si="0"/>
        <v>E101 Air Pressure Low</v>
      </c>
      <c r="I36" s="163"/>
    </row>
    <row r="37" spans="2:9">
      <c r="B37" s="74">
        <v>34</v>
      </c>
      <c r="C37" s="190" t="s">
        <v>1177</v>
      </c>
      <c r="D37" s="191" t="s">
        <v>1134</v>
      </c>
      <c r="E37" s="191"/>
      <c r="F37" s="190" t="s">
        <v>1178</v>
      </c>
      <c r="G37" s="190" t="s">
        <v>1179</v>
      </c>
      <c r="H37" s="190" t="str">
        <f t="shared" si="0"/>
        <v>E102 E-Stop At HMI Pressed</v>
      </c>
      <c r="I37" s="163"/>
    </row>
    <row r="38" spans="2:9">
      <c r="B38" s="74">
        <v>35</v>
      </c>
      <c r="C38" s="190" t="s">
        <v>1180</v>
      </c>
      <c r="D38" s="191" t="s">
        <v>1134</v>
      </c>
      <c r="E38" s="191"/>
      <c r="F38" s="190" t="s">
        <v>1181</v>
      </c>
      <c r="G38" s="190" t="s">
        <v>1179</v>
      </c>
      <c r="H38" s="190" t="str">
        <f t="shared" si="0"/>
        <v>E103 E-Stop At Fame 02 Pressed</v>
      </c>
      <c r="I38" s="163"/>
    </row>
    <row r="39" spans="2:9">
      <c r="B39" s="74">
        <v>36</v>
      </c>
      <c r="C39" s="190" t="s">
        <v>1182</v>
      </c>
      <c r="D39" s="191" t="s">
        <v>1134</v>
      </c>
      <c r="E39" s="191"/>
      <c r="F39" s="190" t="s">
        <v>1183</v>
      </c>
      <c r="G39" s="190" t="s">
        <v>1058</v>
      </c>
      <c r="H39" s="190" t="str">
        <f t="shared" si="0"/>
        <v>E104 Frame 01 Door 01 Open</v>
      </c>
      <c r="I39" s="163"/>
    </row>
    <row r="40" spans="2:9">
      <c r="B40" s="74">
        <v>37</v>
      </c>
      <c r="C40" s="190" t="s">
        <v>1184</v>
      </c>
      <c r="D40" s="191" t="s">
        <v>1134</v>
      </c>
      <c r="E40" s="191"/>
      <c r="F40" s="190" t="s">
        <v>1185</v>
      </c>
      <c r="G40" s="190" t="s">
        <v>1058</v>
      </c>
      <c r="H40" s="190" t="str">
        <f t="shared" si="0"/>
        <v>E105 Frame 01 Door 02 Open</v>
      </c>
      <c r="I40" s="163"/>
    </row>
    <row r="41" spans="2:9">
      <c r="B41" s="74">
        <v>38</v>
      </c>
      <c r="C41" s="190" t="s">
        <v>1186</v>
      </c>
      <c r="D41" s="191" t="s">
        <v>1134</v>
      </c>
      <c r="E41" s="191"/>
      <c r="F41" s="190" t="s">
        <v>1187</v>
      </c>
      <c r="G41" s="190" t="s">
        <v>1058</v>
      </c>
      <c r="H41" s="190" t="str">
        <f t="shared" si="0"/>
        <v>E106 Frame 01 Door 03 Open</v>
      </c>
      <c r="I41" s="163"/>
    </row>
    <row r="42" spans="2:9">
      <c r="B42" s="74">
        <v>39</v>
      </c>
      <c r="C42" s="190" t="s">
        <v>1188</v>
      </c>
      <c r="D42" s="191" t="s">
        <v>1134</v>
      </c>
      <c r="E42" s="191"/>
      <c r="F42" s="169" t="s">
        <v>1687</v>
      </c>
      <c r="G42" s="169" t="s">
        <v>1058</v>
      </c>
      <c r="H42" s="169" t="str">
        <f t="shared" si="0"/>
        <v>E107 Frame 01 Tray 01 Door 04 Open</v>
      </c>
      <c r="I42" s="163"/>
    </row>
    <row r="43" spans="2:9">
      <c r="B43" s="74">
        <v>40</v>
      </c>
      <c r="C43" s="190" t="s">
        <v>1189</v>
      </c>
      <c r="D43" s="191" t="s">
        <v>1134</v>
      </c>
      <c r="E43" s="191"/>
      <c r="F43" s="169" t="s">
        <v>1688</v>
      </c>
      <c r="G43" s="169" t="s">
        <v>1058</v>
      </c>
      <c r="H43" s="169" t="str">
        <f t="shared" si="0"/>
        <v>E108 Frame 01 Tray 02 Door 05 Open</v>
      </c>
      <c r="I43" s="163"/>
    </row>
    <row r="44" spans="2:9">
      <c r="B44" s="74">
        <v>41</v>
      </c>
      <c r="C44" s="190" t="s">
        <v>1190</v>
      </c>
      <c r="D44" s="191" t="s">
        <v>1134</v>
      </c>
      <c r="E44" s="191"/>
      <c r="F44" s="169" t="s">
        <v>1194</v>
      </c>
      <c r="G44" s="169" t="s">
        <v>1058</v>
      </c>
      <c r="H44" s="169" t="str">
        <f t="shared" si="0"/>
        <v>E109 Frame 02 Door 01 Open</v>
      </c>
      <c r="I44" s="163"/>
    </row>
    <row r="45" spans="2:9">
      <c r="B45" s="74">
        <v>42</v>
      </c>
      <c r="C45" s="190" t="s">
        <v>1191</v>
      </c>
      <c r="D45" s="191" t="s">
        <v>1134</v>
      </c>
      <c r="E45" s="191"/>
      <c r="F45" s="169" t="s">
        <v>1196</v>
      </c>
      <c r="G45" s="169" t="s">
        <v>1058</v>
      </c>
      <c r="H45" s="169" t="str">
        <f t="shared" si="0"/>
        <v>E110 Frame 02 Door 02 Open</v>
      </c>
      <c r="I45" s="163"/>
    </row>
    <row r="46" spans="2:9">
      <c r="B46" s="74">
        <v>43</v>
      </c>
      <c r="C46" s="190" t="s">
        <v>1192</v>
      </c>
      <c r="D46" s="191" t="s">
        <v>1134</v>
      </c>
      <c r="E46" s="191"/>
      <c r="F46" s="169" t="s">
        <v>1198</v>
      </c>
      <c r="G46" s="169" t="s">
        <v>1058</v>
      </c>
      <c r="H46" s="169" t="str">
        <f t="shared" si="0"/>
        <v>E111 Frame 02 Door 03 Open</v>
      </c>
      <c r="I46" s="163"/>
    </row>
    <row r="47" spans="2:9">
      <c r="B47" s="74">
        <v>44</v>
      </c>
      <c r="C47" s="190" t="s">
        <v>1193</v>
      </c>
      <c r="D47" s="191" t="s">
        <v>1134</v>
      </c>
      <c r="E47" s="191"/>
      <c r="F47" s="169" t="s">
        <v>1200</v>
      </c>
      <c r="G47" s="169" t="s">
        <v>1058</v>
      </c>
      <c r="H47" s="169" t="str">
        <f t="shared" si="0"/>
        <v>E112 Frame 02 Door 04 Open</v>
      </c>
      <c r="I47" s="163"/>
    </row>
    <row r="48" spans="2:9">
      <c r="B48" s="74">
        <v>45</v>
      </c>
      <c r="C48" s="190" t="s">
        <v>1195</v>
      </c>
      <c r="D48" s="191" t="s">
        <v>1134</v>
      </c>
      <c r="E48" s="191"/>
      <c r="F48" s="169" t="s">
        <v>1202</v>
      </c>
      <c r="G48" s="169" t="s">
        <v>1058</v>
      </c>
      <c r="H48" s="169" t="str">
        <f t="shared" si="0"/>
        <v>E113 Frame 02 Door 05 Open</v>
      </c>
      <c r="I48" s="163"/>
    </row>
    <row r="49" spans="2:9">
      <c r="B49" s="74">
        <v>46</v>
      </c>
      <c r="C49" s="190" t="s">
        <v>1197</v>
      </c>
      <c r="D49" s="191" t="s">
        <v>1134</v>
      </c>
      <c r="E49" s="191"/>
      <c r="F49" s="169" t="s">
        <v>1204</v>
      </c>
      <c r="G49" s="169" t="s">
        <v>1058</v>
      </c>
      <c r="H49" s="169" t="str">
        <f t="shared" si="0"/>
        <v>E114 Frame 02 Door 06 Open</v>
      </c>
      <c r="I49" s="163"/>
    </row>
    <row r="50" spans="2:9">
      <c r="B50" s="74">
        <v>47</v>
      </c>
      <c r="C50" s="190" t="s">
        <v>1199</v>
      </c>
      <c r="D50" s="191" t="s">
        <v>1134</v>
      </c>
      <c r="E50" s="191"/>
      <c r="F50" s="169" t="s">
        <v>1689</v>
      </c>
      <c r="G50" s="169" t="s">
        <v>1058</v>
      </c>
      <c r="H50" s="169" t="str">
        <f t="shared" si="0"/>
        <v>E115 Frame 02 Bag Bin 01 Door 07 Open</v>
      </c>
      <c r="I50" s="163"/>
    </row>
    <row r="51" spans="2:9">
      <c r="B51" s="74">
        <v>48</v>
      </c>
      <c r="C51" s="190" t="s">
        <v>1201</v>
      </c>
      <c r="D51" s="191" t="s">
        <v>1134</v>
      </c>
      <c r="E51" s="191"/>
      <c r="F51" s="169" t="s">
        <v>1690</v>
      </c>
      <c r="G51" s="169" t="s">
        <v>1058</v>
      </c>
      <c r="H51" s="169" t="str">
        <f t="shared" si="0"/>
        <v>E116 Frame 02 Bag Bin 02 Door 08 Open</v>
      </c>
      <c r="I51" s="163"/>
    </row>
    <row r="52" spans="2:9">
      <c r="B52" s="74">
        <v>49</v>
      </c>
      <c r="C52" s="190" t="s">
        <v>1203</v>
      </c>
      <c r="D52" s="191" t="s">
        <v>1134</v>
      </c>
      <c r="E52" s="191"/>
      <c r="F52" s="169" t="s">
        <v>1206</v>
      </c>
      <c r="G52" s="169"/>
      <c r="H52" s="169" t="str">
        <f t="shared" si="0"/>
        <v xml:space="preserve">E117 Tray Stacker Safety Cover </v>
      </c>
      <c r="I52" s="163"/>
    </row>
    <row r="53" spans="2:9">
      <c r="B53" s="74">
        <v>50</v>
      </c>
      <c r="C53" s="190" t="s">
        <v>1205</v>
      </c>
      <c r="D53" s="191" t="s">
        <v>1134</v>
      </c>
      <c r="E53" s="191"/>
      <c r="F53" s="169" t="s">
        <v>1691</v>
      </c>
      <c r="G53" s="198"/>
      <c r="H53" s="169" t="str">
        <f t="shared" si="0"/>
        <v xml:space="preserve">E118 Bag Bin Safety Cover </v>
      </c>
      <c r="I53" s="163"/>
    </row>
    <row r="54" spans="2:9">
      <c r="B54" s="74">
        <v>51</v>
      </c>
      <c r="C54" s="190" t="s">
        <v>1207</v>
      </c>
      <c r="D54" s="191" t="s">
        <v>1134</v>
      </c>
      <c r="E54" s="191"/>
      <c r="F54" s="190"/>
      <c r="G54" s="192"/>
      <c r="H54" s="190" t="str">
        <f t="shared" si="0"/>
        <v xml:space="preserve">E119  </v>
      </c>
      <c r="I54" s="163"/>
    </row>
    <row r="55" spans="2:9">
      <c r="B55" s="74">
        <v>52</v>
      </c>
      <c r="C55" s="190" t="s">
        <v>1208</v>
      </c>
      <c r="D55" s="191" t="s">
        <v>1134</v>
      </c>
      <c r="E55" s="191"/>
      <c r="F55" s="190"/>
      <c r="G55" s="192"/>
      <c r="H55" s="190" t="str">
        <f t="shared" si="0"/>
        <v xml:space="preserve">E120  </v>
      </c>
      <c r="I55" s="163"/>
    </row>
    <row r="56" spans="2:9">
      <c r="B56" s="74">
        <v>54</v>
      </c>
      <c r="C56" s="193" t="s">
        <v>1209</v>
      </c>
      <c r="D56" s="194" t="s">
        <v>1134</v>
      </c>
      <c r="E56" s="194" t="s">
        <v>999</v>
      </c>
      <c r="F56" s="193" t="s">
        <v>26</v>
      </c>
      <c r="G56" s="195" t="s">
        <v>1210</v>
      </c>
      <c r="H56" s="193" t="str">
        <f>CONCATENATE(C56,D56,F56,D56,G56)</f>
        <v>E201 Tray Pusher Servo 01 MPCB Tripped</v>
      </c>
      <c r="I56" s="163"/>
    </row>
    <row r="57" spans="2:9">
      <c r="B57" s="74">
        <v>55</v>
      </c>
      <c r="C57" s="193" t="s">
        <v>1211</v>
      </c>
      <c r="D57" s="194" t="s">
        <v>1134</v>
      </c>
      <c r="E57" s="194" t="s">
        <v>999</v>
      </c>
      <c r="F57" s="193" t="s">
        <v>26</v>
      </c>
      <c r="G57" s="195" t="s">
        <v>1212</v>
      </c>
      <c r="H57" s="193" t="str">
        <f t="shared" ref="H57:H120" si="1">CONCATENATE(C57,D57,F57,D57,G57)</f>
        <v>E202 Tray Pusher Servo 01 Drive Not Ready</v>
      </c>
      <c r="I57" s="163"/>
    </row>
    <row r="58" spans="2:9">
      <c r="B58" s="74">
        <v>56</v>
      </c>
      <c r="C58" s="193" t="s">
        <v>1213</v>
      </c>
      <c r="D58" s="194" t="s">
        <v>1134</v>
      </c>
      <c r="E58" s="194" t="s">
        <v>999</v>
      </c>
      <c r="F58" s="193" t="s">
        <v>26</v>
      </c>
      <c r="G58" s="195" t="s">
        <v>1214</v>
      </c>
      <c r="H58" s="193" t="str">
        <f t="shared" si="1"/>
        <v>E203 Tray Pusher Servo 01 Drive  Faulted</v>
      </c>
      <c r="I58" s="163"/>
    </row>
    <row r="59" spans="2:9">
      <c r="B59" s="74">
        <v>57</v>
      </c>
      <c r="C59" s="193" t="s">
        <v>1215</v>
      </c>
      <c r="D59" s="194" t="s">
        <v>1134</v>
      </c>
      <c r="E59" s="194" t="s">
        <v>1001</v>
      </c>
      <c r="F59" s="193" t="s">
        <v>29</v>
      </c>
      <c r="G59" s="195" t="s">
        <v>1210</v>
      </c>
      <c r="H59" s="193" t="str">
        <f t="shared" si="1"/>
        <v>E204 Plate Pusher Servo 01 MPCB Tripped</v>
      </c>
      <c r="I59" s="163"/>
    </row>
    <row r="60" spans="2:9">
      <c r="B60" s="74">
        <v>58</v>
      </c>
      <c r="C60" s="193" t="s">
        <v>1216</v>
      </c>
      <c r="D60" s="194" t="s">
        <v>1134</v>
      </c>
      <c r="E60" s="194" t="s">
        <v>1001</v>
      </c>
      <c r="F60" s="193" t="s">
        <v>29</v>
      </c>
      <c r="G60" s="195" t="s">
        <v>1212</v>
      </c>
      <c r="H60" s="193" t="str">
        <f t="shared" si="1"/>
        <v>E205 Plate Pusher Servo 01 Drive Not Ready</v>
      </c>
      <c r="I60" s="163"/>
    </row>
    <row r="61" spans="2:9">
      <c r="B61" s="74">
        <v>59</v>
      </c>
      <c r="C61" s="193" t="s">
        <v>1217</v>
      </c>
      <c r="D61" s="194" t="s">
        <v>1134</v>
      </c>
      <c r="E61" s="194" t="s">
        <v>1001</v>
      </c>
      <c r="F61" s="193" t="s">
        <v>29</v>
      </c>
      <c r="G61" s="195" t="s">
        <v>1214</v>
      </c>
      <c r="H61" s="193" t="str">
        <f t="shared" si="1"/>
        <v>E206 Plate Pusher Servo 01 Drive  Faulted</v>
      </c>
      <c r="I61" s="163"/>
    </row>
    <row r="62" spans="2:9">
      <c r="B62" s="74">
        <v>60</v>
      </c>
      <c r="C62" s="193" t="s">
        <v>1218</v>
      </c>
      <c r="D62" s="194" t="s">
        <v>1134</v>
      </c>
      <c r="E62" s="194" t="s">
        <v>1003</v>
      </c>
      <c r="F62" s="193" t="s">
        <v>31</v>
      </c>
      <c r="G62" s="195" t="s">
        <v>1210</v>
      </c>
      <c r="H62" s="193" t="str">
        <f t="shared" si="1"/>
        <v>E207 Plate Guide Servo 01 MPCB Tripped</v>
      </c>
      <c r="I62" s="163"/>
    </row>
    <row r="63" spans="2:9">
      <c r="B63" s="74">
        <v>61</v>
      </c>
      <c r="C63" s="193" t="s">
        <v>1219</v>
      </c>
      <c r="D63" s="194" t="s">
        <v>1134</v>
      </c>
      <c r="E63" s="194" t="s">
        <v>1003</v>
      </c>
      <c r="F63" s="193" t="s">
        <v>31</v>
      </c>
      <c r="G63" s="195" t="s">
        <v>1212</v>
      </c>
      <c r="H63" s="193" t="str">
        <f t="shared" si="1"/>
        <v>E208 Plate Guide Servo 01 Drive Not Ready</v>
      </c>
      <c r="I63" s="163"/>
    </row>
    <row r="64" spans="2:9">
      <c r="B64" s="74">
        <v>62</v>
      </c>
      <c r="C64" s="193" t="s">
        <v>1220</v>
      </c>
      <c r="D64" s="194" t="s">
        <v>1134</v>
      </c>
      <c r="E64" s="194" t="s">
        <v>1003</v>
      </c>
      <c r="F64" s="193" t="s">
        <v>31</v>
      </c>
      <c r="G64" s="195" t="s">
        <v>1214</v>
      </c>
      <c r="H64" s="193" t="str">
        <f t="shared" si="1"/>
        <v>E209 Plate Guide Servo 01 Drive  Faulted</v>
      </c>
      <c r="I64" s="163"/>
    </row>
    <row r="65" spans="2:9">
      <c r="B65" s="74">
        <v>63</v>
      </c>
      <c r="C65" s="193" t="s">
        <v>1221</v>
      </c>
      <c r="D65" s="194" t="s">
        <v>1134</v>
      </c>
      <c r="E65" s="194" t="s">
        <v>1005</v>
      </c>
      <c r="F65" s="193" t="s">
        <v>33</v>
      </c>
      <c r="G65" s="195" t="s">
        <v>1210</v>
      </c>
      <c r="H65" s="193" t="str">
        <f t="shared" si="1"/>
        <v>E210 Tray Pusher Servo 02 MPCB Tripped</v>
      </c>
      <c r="I65" s="163"/>
    </row>
    <row r="66" spans="2:9">
      <c r="B66" s="74">
        <v>64</v>
      </c>
      <c r="C66" s="193" t="s">
        <v>1222</v>
      </c>
      <c r="D66" s="194" t="s">
        <v>1134</v>
      </c>
      <c r="E66" s="194" t="s">
        <v>1005</v>
      </c>
      <c r="F66" s="193" t="s">
        <v>33</v>
      </c>
      <c r="G66" s="195" t="s">
        <v>1212</v>
      </c>
      <c r="H66" s="193" t="str">
        <f t="shared" si="1"/>
        <v>E211 Tray Pusher Servo 02 Drive Not Ready</v>
      </c>
      <c r="I66" s="163"/>
    </row>
    <row r="67" spans="2:9">
      <c r="B67" s="74">
        <v>65</v>
      </c>
      <c r="C67" s="193" t="s">
        <v>1223</v>
      </c>
      <c r="D67" s="194" t="s">
        <v>1134</v>
      </c>
      <c r="E67" s="194" t="s">
        <v>1005</v>
      </c>
      <c r="F67" s="193" t="s">
        <v>33</v>
      </c>
      <c r="G67" s="195" t="s">
        <v>1214</v>
      </c>
      <c r="H67" s="193" t="str">
        <f t="shared" si="1"/>
        <v>E212 Tray Pusher Servo 02 Drive  Faulted</v>
      </c>
      <c r="I67" s="163"/>
    </row>
    <row r="68" spans="2:9">
      <c r="B68" s="74">
        <v>66</v>
      </c>
      <c r="C68" s="193" t="s">
        <v>1224</v>
      </c>
      <c r="D68" s="194" t="s">
        <v>1134</v>
      </c>
      <c r="E68" s="194" t="s">
        <v>1007</v>
      </c>
      <c r="F68" s="193" t="s">
        <v>35</v>
      </c>
      <c r="G68" s="195" t="s">
        <v>1210</v>
      </c>
      <c r="H68" s="193" t="str">
        <f t="shared" si="1"/>
        <v>E213 Plate Pusher Servo 02 MPCB Tripped</v>
      </c>
      <c r="I68" s="163"/>
    </row>
    <row r="69" spans="2:9">
      <c r="B69" s="74">
        <v>67</v>
      </c>
      <c r="C69" s="193" t="s">
        <v>1225</v>
      </c>
      <c r="D69" s="194" t="s">
        <v>1134</v>
      </c>
      <c r="E69" s="194" t="s">
        <v>1007</v>
      </c>
      <c r="F69" s="193" t="s">
        <v>35</v>
      </c>
      <c r="G69" s="195" t="s">
        <v>1212</v>
      </c>
      <c r="H69" s="193" t="str">
        <f t="shared" si="1"/>
        <v>E214 Plate Pusher Servo 02 Drive Not Ready</v>
      </c>
      <c r="I69" s="163"/>
    </row>
    <row r="70" spans="2:9">
      <c r="B70" s="74">
        <v>68</v>
      </c>
      <c r="C70" s="193" t="s">
        <v>1226</v>
      </c>
      <c r="D70" s="194" t="s">
        <v>1134</v>
      </c>
      <c r="E70" s="194" t="s">
        <v>1007</v>
      </c>
      <c r="F70" s="193" t="s">
        <v>35</v>
      </c>
      <c r="G70" s="195" t="s">
        <v>1214</v>
      </c>
      <c r="H70" s="193" t="str">
        <f t="shared" si="1"/>
        <v>E215 Plate Pusher Servo 02 Drive  Faulted</v>
      </c>
      <c r="I70" s="163"/>
    </row>
    <row r="71" spans="2:9">
      <c r="B71" s="74">
        <v>69</v>
      </c>
      <c r="C71" s="193" t="s">
        <v>1227</v>
      </c>
      <c r="D71" s="194" t="s">
        <v>1134</v>
      </c>
      <c r="E71" s="194" t="s">
        <v>1009</v>
      </c>
      <c r="F71" s="193" t="s">
        <v>37</v>
      </c>
      <c r="G71" s="195" t="s">
        <v>1210</v>
      </c>
      <c r="H71" s="193" t="str">
        <f t="shared" si="1"/>
        <v>E216 Plate Guide Servo 02 MPCB Tripped</v>
      </c>
      <c r="I71" s="163"/>
    </row>
    <row r="72" spans="2:9">
      <c r="B72" s="74">
        <v>70</v>
      </c>
      <c r="C72" s="193" t="s">
        <v>1228</v>
      </c>
      <c r="D72" s="194" t="s">
        <v>1134</v>
      </c>
      <c r="E72" s="194" t="s">
        <v>1009</v>
      </c>
      <c r="F72" s="193" t="s">
        <v>37</v>
      </c>
      <c r="G72" s="195" t="s">
        <v>1212</v>
      </c>
      <c r="H72" s="193" t="str">
        <f t="shared" si="1"/>
        <v>E217 Plate Guide Servo 02 Drive Not Ready</v>
      </c>
      <c r="I72" s="163"/>
    </row>
    <row r="73" spans="2:9">
      <c r="B73" s="74">
        <v>71</v>
      </c>
      <c r="C73" s="193" t="s">
        <v>1229</v>
      </c>
      <c r="D73" s="194" t="s">
        <v>1134</v>
      </c>
      <c r="E73" s="194" t="s">
        <v>1009</v>
      </c>
      <c r="F73" s="193" t="s">
        <v>37</v>
      </c>
      <c r="G73" s="195" t="s">
        <v>1214</v>
      </c>
      <c r="H73" s="193" t="str">
        <f t="shared" si="1"/>
        <v>E218 Plate Guide Servo 02 Drive  Faulted</v>
      </c>
      <c r="I73" s="163"/>
    </row>
    <row r="74" spans="2:9">
      <c r="B74" s="74">
        <v>72</v>
      </c>
      <c r="C74" s="193" t="s">
        <v>1230</v>
      </c>
      <c r="D74" s="194" t="s">
        <v>1134</v>
      </c>
      <c r="E74" s="194" t="s">
        <v>1011</v>
      </c>
      <c r="F74" s="193" t="s">
        <v>44</v>
      </c>
      <c r="G74" s="195" t="s">
        <v>1210</v>
      </c>
      <c r="H74" s="193" t="str">
        <f t="shared" si="1"/>
        <v>E219 Printer Assembly Servo Slide MPCB Tripped</v>
      </c>
      <c r="I74" s="163"/>
    </row>
    <row r="75" spans="2:9">
      <c r="B75" s="74">
        <v>73</v>
      </c>
      <c r="C75" s="193" t="s">
        <v>1231</v>
      </c>
      <c r="D75" s="194" t="s">
        <v>1134</v>
      </c>
      <c r="E75" s="194" t="s">
        <v>1011</v>
      </c>
      <c r="F75" s="193" t="s">
        <v>44</v>
      </c>
      <c r="G75" s="195" t="s">
        <v>1212</v>
      </c>
      <c r="H75" s="193" t="str">
        <f t="shared" si="1"/>
        <v>E220 Printer Assembly Servo Slide Drive Not Ready</v>
      </c>
      <c r="I75" s="163"/>
    </row>
    <row r="76" spans="2:9">
      <c r="B76" s="74">
        <v>74</v>
      </c>
      <c r="C76" s="193" t="s">
        <v>1232</v>
      </c>
      <c r="D76" s="194" t="s">
        <v>1134</v>
      </c>
      <c r="E76" s="194" t="s">
        <v>1011</v>
      </c>
      <c r="F76" s="193" t="s">
        <v>44</v>
      </c>
      <c r="G76" s="195" t="s">
        <v>1214</v>
      </c>
      <c r="H76" s="193" t="str">
        <f t="shared" si="1"/>
        <v>E221 Printer Assembly Servo Slide Drive  Faulted</v>
      </c>
      <c r="I76" s="163"/>
    </row>
    <row r="77" spans="2:9">
      <c r="B77" s="74">
        <v>75</v>
      </c>
      <c r="C77" s="193" t="s">
        <v>1233</v>
      </c>
      <c r="D77" s="194" t="s">
        <v>1134</v>
      </c>
      <c r="E77" s="194" t="s">
        <v>1013</v>
      </c>
      <c r="F77" s="193" t="s">
        <v>48</v>
      </c>
      <c r="G77" s="195" t="s">
        <v>1210</v>
      </c>
      <c r="H77" s="193" t="str">
        <f t="shared" si="1"/>
        <v>E222 Tray Insertion Servo Slide MPCB Tripped</v>
      </c>
      <c r="I77" s="163"/>
    </row>
    <row r="78" spans="2:9">
      <c r="B78" s="74">
        <v>76</v>
      </c>
      <c r="C78" s="193" t="s">
        <v>1234</v>
      </c>
      <c r="D78" s="194" t="s">
        <v>1134</v>
      </c>
      <c r="E78" s="194" t="s">
        <v>1013</v>
      </c>
      <c r="F78" s="193" t="s">
        <v>48</v>
      </c>
      <c r="G78" s="195" t="s">
        <v>1212</v>
      </c>
      <c r="H78" s="193" t="str">
        <f t="shared" si="1"/>
        <v>E223 Tray Insertion Servo Slide Drive Not Ready</v>
      </c>
      <c r="I78" s="163"/>
    </row>
    <row r="79" spans="2:9">
      <c r="B79" s="74">
        <v>77</v>
      </c>
      <c r="C79" s="193" t="s">
        <v>1235</v>
      </c>
      <c r="D79" s="194" t="s">
        <v>1134</v>
      </c>
      <c r="E79" s="194" t="s">
        <v>1013</v>
      </c>
      <c r="F79" s="193" t="s">
        <v>48</v>
      </c>
      <c r="G79" s="195" t="s">
        <v>1214</v>
      </c>
      <c r="H79" s="193" t="str">
        <f t="shared" si="1"/>
        <v>E224 Tray Insertion Servo Slide Drive  Faulted</v>
      </c>
      <c r="I79" s="163"/>
    </row>
    <row r="80" spans="2:9">
      <c r="B80" s="74">
        <v>78</v>
      </c>
      <c r="C80" s="193" t="s">
        <v>1236</v>
      </c>
      <c r="D80" s="194" t="s">
        <v>1134</v>
      </c>
      <c r="E80" s="194" t="s">
        <v>1015</v>
      </c>
      <c r="F80" s="193" t="s">
        <v>86</v>
      </c>
      <c r="G80" s="195" t="s">
        <v>1210</v>
      </c>
      <c r="H80" s="193" t="str">
        <f t="shared" si="1"/>
        <v>E225 Tray Stacker Servo 01 MPCB Tripped</v>
      </c>
      <c r="I80" s="163"/>
    </row>
    <row r="81" spans="2:9">
      <c r="B81" s="74">
        <v>79</v>
      </c>
      <c r="C81" s="193" t="s">
        <v>1237</v>
      </c>
      <c r="D81" s="194" t="s">
        <v>1134</v>
      </c>
      <c r="E81" s="194" t="s">
        <v>1015</v>
      </c>
      <c r="F81" s="193" t="s">
        <v>86</v>
      </c>
      <c r="G81" s="195" t="s">
        <v>1212</v>
      </c>
      <c r="H81" s="193" t="str">
        <f t="shared" si="1"/>
        <v>E226 Tray Stacker Servo 01 Drive Not Ready</v>
      </c>
      <c r="I81" s="163"/>
    </row>
    <row r="82" spans="2:9">
      <c r="B82" s="74">
        <v>80</v>
      </c>
      <c r="C82" s="193" t="s">
        <v>1238</v>
      </c>
      <c r="D82" s="194" t="s">
        <v>1134</v>
      </c>
      <c r="E82" s="194" t="s">
        <v>1015</v>
      </c>
      <c r="F82" s="193" t="s">
        <v>86</v>
      </c>
      <c r="G82" s="195" t="s">
        <v>1214</v>
      </c>
      <c r="H82" s="193" t="str">
        <f t="shared" si="1"/>
        <v>E227 Tray Stacker Servo 01 Drive  Faulted</v>
      </c>
      <c r="I82" s="163"/>
    </row>
    <row r="83" spans="2:9">
      <c r="B83" s="74">
        <v>81</v>
      </c>
      <c r="C83" s="193" t="s">
        <v>1239</v>
      </c>
      <c r="D83" s="194" t="s">
        <v>1134</v>
      </c>
      <c r="E83" s="194" t="s">
        <v>1017</v>
      </c>
      <c r="F83" s="193" t="s">
        <v>91</v>
      </c>
      <c r="G83" s="195" t="s">
        <v>1210</v>
      </c>
      <c r="H83" s="193" t="str">
        <f t="shared" si="1"/>
        <v>E228 Tray Stacker Servo 02 MPCB Tripped</v>
      </c>
      <c r="I83" s="163"/>
    </row>
    <row r="84" spans="2:9">
      <c r="B84" s="74">
        <v>82</v>
      </c>
      <c r="C84" s="193" t="s">
        <v>1240</v>
      </c>
      <c r="D84" s="194" t="s">
        <v>1134</v>
      </c>
      <c r="E84" s="194" t="s">
        <v>1017</v>
      </c>
      <c r="F84" s="193" t="s">
        <v>91</v>
      </c>
      <c r="G84" s="195" t="s">
        <v>1212</v>
      </c>
      <c r="H84" s="193" t="str">
        <f t="shared" si="1"/>
        <v>E229 Tray Stacker Servo 02 Drive Not Ready</v>
      </c>
      <c r="I84" s="163"/>
    </row>
    <row r="85" spans="2:9">
      <c r="B85" s="74">
        <v>83</v>
      </c>
      <c r="C85" s="193" t="s">
        <v>1241</v>
      </c>
      <c r="D85" s="194" t="s">
        <v>1134</v>
      </c>
      <c r="E85" s="194" t="s">
        <v>1017</v>
      </c>
      <c r="F85" s="193" t="s">
        <v>91</v>
      </c>
      <c r="G85" s="195" t="s">
        <v>1214</v>
      </c>
      <c r="H85" s="193" t="str">
        <f t="shared" si="1"/>
        <v>E230 Tray Stacker Servo 02 Drive  Faulted</v>
      </c>
      <c r="I85" s="163"/>
    </row>
    <row r="86" spans="2:9">
      <c r="B86" s="74">
        <v>84</v>
      </c>
      <c r="C86" s="193" t="s">
        <v>1242</v>
      </c>
      <c r="D86" s="194" t="s">
        <v>1134</v>
      </c>
      <c r="E86" s="194" t="s">
        <v>1019</v>
      </c>
      <c r="F86" s="193" t="s">
        <v>39</v>
      </c>
      <c r="G86" s="195" t="s">
        <v>1210</v>
      </c>
      <c r="H86" s="193" t="str">
        <f t="shared" si="1"/>
        <v>E231 Plate Feeding Conveyor MPCB Tripped</v>
      </c>
      <c r="I86" s="163"/>
    </row>
    <row r="87" spans="2:9">
      <c r="B87" s="74">
        <v>85</v>
      </c>
      <c r="C87" s="193" t="s">
        <v>1243</v>
      </c>
      <c r="D87" s="194" t="s">
        <v>1134</v>
      </c>
      <c r="E87" s="194" t="s">
        <v>1019</v>
      </c>
      <c r="F87" s="193" t="s">
        <v>39</v>
      </c>
      <c r="G87" s="195" t="s">
        <v>1212</v>
      </c>
      <c r="H87" s="193" t="str">
        <f t="shared" si="1"/>
        <v>E232 Plate Feeding Conveyor Drive Not Ready</v>
      </c>
      <c r="I87" s="163"/>
    </row>
    <row r="88" spans="2:9">
      <c r="B88" s="74">
        <v>86</v>
      </c>
      <c r="C88" s="193" t="s">
        <v>1244</v>
      </c>
      <c r="D88" s="194" t="s">
        <v>1134</v>
      </c>
      <c r="E88" s="194" t="s">
        <v>1019</v>
      </c>
      <c r="F88" s="193" t="s">
        <v>39</v>
      </c>
      <c r="G88" s="195" t="s">
        <v>1214</v>
      </c>
      <c r="H88" s="193" t="str">
        <f t="shared" si="1"/>
        <v>E233 Plate Feeding Conveyor Drive  Faulted</v>
      </c>
      <c r="I88" s="163"/>
    </row>
    <row r="89" spans="2:9">
      <c r="B89" s="74">
        <v>87</v>
      </c>
      <c r="C89" s="193" t="s">
        <v>1245</v>
      </c>
      <c r="D89" s="194" t="s">
        <v>1134</v>
      </c>
      <c r="E89" s="194" t="s">
        <v>1021</v>
      </c>
      <c r="F89" s="193" t="s">
        <v>42</v>
      </c>
      <c r="G89" s="195" t="s">
        <v>1210</v>
      </c>
      <c r="H89" s="193" t="str">
        <f t="shared" si="1"/>
        <v>E234 Tray Feeding Conveyor MPCB Tripped</v>
      </c>
      <c r="I89" s="163"/>
    </row>
    <row r="90" spans="2:9">
      <c r="B90" s="74">
        <v>88</v>
      </c>
      <c r="C90" s="193" t="s">
        <v>1246</v>
      </c>
      <c r="D90" s="194" t="s">
        <v>1134</v>
      </c>
      <c r="E90" s="194" t="s">
        <v>1021</v>
      </c>
      <c r="F90" s="193" t="s">
        <v>42</v>
      </c>
      <c r="G90" s="195" t="s">
        <v>1212</v>
      </c>
      <c r="H90" s="193" t="str">
        <f t="shared" si="1"/>
        <v>E235 Tray Feeding Conveyor Drive Not Ready</v>
      </c>
      <c r="I90" s="163"/>
    </row>
    <row r="91" spans="2:9">
      <c r="B91" s="74">
        <v>89</v>
      </c>
      <c r="C91" s="193" t="s">
        <v>1247</v>
      </c>
      <c r="D91" s="194" t="s">
        <v>1134</v>
      </c>
      <c r="E91" s="194" t="s">
        <v>1021</v>
      </c>
      <c r="F91" s="193" t="s">
        <v>42</v>
      </c>
      <c r="G91" s="195" t="s">
        <v>1214</v>
      </c>
      <c r="H91" s="193" t="str">
        <f t="shared" si="1"/>
        <v>E236 Tray Feeding Conveyor Drive  Faulted</v>
      </c>
      <c r="I91" s="163"/>
    </row>
    <row r="92" spans="2:9">
      <c r="B92" s="74">
        <v>90</v>
      </c>
      <c r="C92" s="193" t="s">
        <v>1248</v>
      </c>
      <c r="D92" s="194" t="s">
        <v>1134</v>
      </c>
      <c r="E92" s="194" t="s">
        <v>1023</v>
      </c>
      <c r="F92" s="193" t="s">
        <v>50</v>
      </c>
      <c r="G92" s="195" t="s">
        <v>1210</v>
      </c>
      <c r="H92" s="193" t="str">
        <f t="shared" si="1"/>
        <v>E237 Sealing Conveyor MPCB Tripped</v>
      </c>
      <c r="I92" s="163"/>
    </row>
    <row r="93" spans="2:9">
      <c r="B93" s="74">
        <v>91</v>
      </c>
      <c r="C93" s="193" t="s">
        <v>1249</v>
      </c>
      <c r="D93" s="194" t="s">
        <v>1134</v>
      </c>
      <c r="E93" s="194" t="s">
        <v>1023</v>
      </c>
      <c r="F93" s="193" t="s">
        <v>50</v>
      </c>
      <c r="G93" s="195" t="s">
        <v>1212</v>
      </c>
      <c r="H93" s="193" t="str">
        <f t="shared" si="1"/>
        <v>E238 Sealing Conveyor Drive Not Ready</v>
      </c>
      <c r="I93" s="163"/>
    </row>
    <row r="94" spans="2:9">
      <c r="B94" s="74">
        <v>92</v>
      </c>
      <c r="C94" s="193" t="s">
        <v>1250</v>
      </c>
      <c r="D94" s="194" t="s">
        <v>1134</v>
      </c>
      <c r="E94" s="194" t="s">
        <v>1023</v>
      </c>
      <c r="F94" s="193" t="s">
        <v>50</v>
      </c>
      <c r="G94" s="195" t="s">
        <v>1214</v>
      </c>
      <c r="H94" s="193" t="str">
        <f t="shared" si="1"/>
        <v>E239 Sealing Conveyor Drive  Faulted</v>
      </c>
      <c r="I94" s="163"/>
    </row>
    <row r="95" spans="2:9">
      <c r="B95" s="74">
        <v>93</v>
      </c>
      <c r="C95" s="193" t="s">
        <v>1251</v>
      </c>
      <c r="D95" s="194" t="s">
        <v>1134</v>
      </c>
      <c r="E95" s="194"/>
      <c r="F95" s="169" t="s">
        <v>1684</v>
      </c>
      <c r="G95" s="198" t="s">
        <v>1210</v>
      </c>
      <c r="H95" s="193" t="str">
        <f t="shared" si="1"/>
        <v>E240 Bowl Feeder Bowl Motor 01 MPCB Tripped</v>
      </c>
      <c r="I95" s="163"/>
    </row>
    <row r="96" spans="2:9">
      <c r="B96" s="74">
        <v>94</v>
      </c>
      <c r="C96" s="193" t="s">
        <v>1252</v>
      </c>
      <c r="D96" s="194" t="s">
        <v>1134</v>
      </c>
      <c r="E96" s="194"/>
      <c r="F96" s="169" t="s">
        <v>1683</v>
      </c>
      <c r="G96" s="198" t="s">
        <v>1210</v>
      </c>
      <c r="H96" s="193" t="str">
        <f t="shared" si="1"/>
        <v>E241 Bowl Feeder Linear Motor 01 MPCB Tripped</v>
      </c>
      <c r="I96" s="163"/>
    </row>
    <row r="97" spans="2:9">
      <c r="B97" s="74">
        <v>95</v>
      </c>
      <c r="C97" s="193" t="s">
        <v>1254</v>
      </c>
      <c r="D97" s="194" t="s">
        <v>1134</v>
      </c>
      <c r="E97" s="194"/>
      <c r="F97" s="169" t="s">
        <v>1685</v>
      </c>
      <c r="G97" s="198" t="s">
        <v>1210</v>
      </c>
      <c r="H97" s="193" t="str">
        <f t="shared" si="1"/>
        <v>E242 Bowl Feeder Bowl Motor 02 MPCB Tripped</v>
      </c>
      <c r="I97" s="163"/>
    </row>
    <row r="98" spans="2:9">
      <c r="B98" s="74">
        <v>96</v>
      </c>
      <c r="C98" s="193" t="s">
        <v>1255</v>
      </c>
      <c r="D98" s="194" t="s">
        <v>1134</v>
      </c>
      <c r="E98" s="194"/>
      <c r="F98" s="169" t="s">
        <v>1686</v>
      </c>
      <c r="G98" s="198" t="s">
        <v>1210</v>
      </c>
      <c r="H98" s="193" t="str">
        <f t="shared" si="1"/>
        <v>E243 Bowl Feeder Linear Motor 02 MPCB Tripped</v>
      </c>
      <c r="I98" s="163"/>
    </row>
    <row r="99" spans="2:9">
      <c r="B99" s="74">
        <v>97</v>
      </c>
      <c r="C99" s="193" t="s">
        <v>1256</v>
      </c>
      <c r="D99" s="194" t="s">
        <v>1134</v>
      </c>
      <c r="E99" s="194" t="s">
        <v>1026</v>
      </c>
      <c r="F99" s="169" t="s">
        <v>52</v>
      </c>
      <c r="G99" s="198" t="s">
        <v>1210</v>
      </c>
      <c r="H99" s="193" t="str">
        <f t="shared" si="1"/>
        <v>E244 Vacuum Pump MPCB Tripped</v>
      </c>
      <c r="I99" s="163"/>
    </row>
    <row r="100" spans="2:9">
      <c r="B100" s="74">
        <v>98</v>
      </c>
      <c r="C100" s="193" t="s">
        <v>1257</v>
      </c>
      <c r="D100" s="194" t="s">
        <v>1134</v>
      </c>
      <c r="E100" s="194" t="s">
        <v>1029</v>
      </c>
      <c r="F100" s="169" t="s">
        <v>1679</v>
      </c>
      <c r="G100" s="198" t="s">
        <v>1210</v>
      </c>
      <c r="H100" s="193" t="str">
        <f t="shared" si="1"/>
        <v>E245 Bag Sealer Vacuum Pump MPCB Tripped</v>
      </c>
      <c r="I100" s="163"/>
    </row>
    <row r="101" spans="2:9">
      <c r="B101" s="74">
        <v>99</v>
      </c>
      <c r="C101" s="193" t="s">
        <v>1258</v>
      </c>
      <c r="D101" s="194" t="s">
        <v>1134</v>
      </c>
      <c r="E101" s="194" t="s">
        <v>1054</v>
      </c>
      <c r="F101" s="193" t="s">
        <v>1053</v>
      </c>
      <c r="G101" s="195" t="s">
        <v>1259</v>
      </c>
      <c r="H101" s="193" t="str">
        <f t="shared" si="1"/>
        <v>E246 Plate Infeed Conveyor Diverter Both Reedswitch Present</v>
      </c>
      <c r="I101" s="163"/>
    </row>
    <row r="102" spans="2:9">
      <c r="B102" s="74">
        <v>100</v>
      </c>
      <c r="C102" s="193" t="s">
        <v>1260</v>
      </c>
      <c r="D102" s="194" t="s">
        <v>1134</v>
      </c>
      <c r="E102" s="194" t="s">
        <v>1054</v>
      </c>
      <c r="F102" s="193" t="s">
        <v>1053</v>
      </c>
      <c r="G102" s="195" t="s">
        <v>1261</v>
      </c>
      <c r="H102" s="193" t="str">
        <f t="shared" si="1"/>
        <v>E247 Plate Infeed Conveyor Diverter Both Reedswitch Absent</v>
      </c>
      <c r="I102" s="163"/>
    </row>
    <row r="103" spans="2:9">
      <c r="B103" s="74">
        <v>101</v>
      </c>
      <c r="C103" s="193" t="s">
        <v>1262</v>
      </c>
      <c r="D103" s="194" t="s">
        <v>1134</v>
      </c>
      <c r="E103" s="194" t="s">
        <v>1054</v>
      </c>
      <c r="F103" s="193" t="s">
        <v>1053</v>
      </c>
      <c r="G103" s="195" t="s">
        <v>1263</v>
      </c>
      <c r="H103" s="193" t="str">
        <f t="shared" si="1"/>
        <v>E248 Plate Infeed Conveyor Diverter Position 01 Reedswitch Absent</v>
      </c>
      <c r="I103" s="163"/>
    </row>
    <row r="104" spans="2:9">
      <c r="B104" s="74">
        <v>102</v>
      </c>
      <c r="C104" s="193" t="s">
        <v>1264</v>
      </c>
      <c r="D104" s="194" t="s">
        <v>1134</v>
      </c>
      <c r="E104" s="194" t="s">
        <v>1054</v>
      </c>
      <c r="F104" s="193" t="s">
        <v>1053</v>
      </c>
      <c r="G104" s="195" t="s">
        <v>1265</v>
      </c>
      <c r="H104" s="193" t="str">
        <f t="shared" si="1"/>
        <v>E249 Plate Infeed Conveyor Diverter Position 02 Reedswitch Absent</v>
      </c>
      <c r="I104" s="163"/>
    </row>
    <row r="105" spans="2:9">
      <c r="B105" s="74">
        <v>103</v>
      </c>
      <c r="C105" s="193" t="s">
        <v>1266</v>
      </c>
      <c r="D105" s="194" t="s">
        <v>1134</v>
      </c>
      <c r="E105" s="194" t="s">
        <v>1057</v>
      </c>
      <c r="F105" s="193" t="s">
        <v>1056</v>
      </c>
      <c r="G105" s="195" t="s">
        <v>1259</v>
      </c>
      <c r="H105" s="193" t="str">
        <f t="shared" si="1"/>
        <v>E250 Linear Feeder 01 Exit Stopper Both Reedswitch Present</v>
      </c>
      <c r="I105" s="163"/>
    </row>
    <row r="106" spans="2:9">
      <c r="B106" s="74">
        <v>104</v>
      </c>
      <c r="C106" s="193" t="s">
        <v>1267</v>
      </c>
      <c r="D106" s="194" t="s">
        <v>1134</v>
      </c>
      <c r="E106" s="194" t="s">
        <v>1057</v>
      </c>
      <c r="F106" s="193" t="s">
        <v>1056</v>
      </c>
      <c r="G106" s="195" t="s">
        <v>1261</v>
      </c>
      <c r="H106" s="193" t="str">
        <f t="shared" si="1"/>
        <v>E251 Linear Feeder 01 Exit Stopper Both Reedswitch Absent</v>
      </c>
      <c r="I106" s="163"/>
    </row>
    <row r="107" spans="2:9">
      <c r="B107" s="74">
        <v>105</v>
      </c>
      <c r="C107" s="193" t="s">
        <v>1268</v>
      </c>
      <c r="D107" s="194" t="s">
        <v>1134</v>
      </c>
      <c r="E107" s="194" t="s">
        <v>1057</v>
      </c>
      <c r="F107" s="193" t="s">
        <v>1056</v>
      </c>
      <c r="G107" s="195" t="s">
        <v>1269</v>
      </c>
      <c r="H107" s="193" t="str">
        <f t="shared" si="1"/>
        <v>E252 Linear Feeder 01 Exit Stopper Open Reedswitch Absent</v>
      </c>
      <c r="I107" s="163"/>
    </row>
    <row r="108" spans="2:9">
      <c r="B108" s="74">
        <v>106</v>
      </c>
      <c r="C108" s="193" t="s">
        <v>1270</v>
      </c>
      <c r="D108" s="194" t="s">
        <v>1134</v>
      </c>
      <c r="E108" s="194" t="s">
        <v>1057</v>
      </c>
      <c r="F108" s="193" t="s">
        <v>1056</v>
      </c>
      <c r="G108" s="195" t="s">
        <v>1271</v>
      </c>
      <c r="H108" s="193" t="str">
        <f t="shared" si="1"/>
        <v>E253 Linear Feeder 01 Exit Stopper Close Reedswitch Absent</v>
      </c>
      <c r="I108" s="163"/>
    </row>
    <row r="109" spans="2:9">
      <c r="B109" s="74">
        <v>107</v>
      </c>
      <c r="C109" s="193" t="s">
        <v>1272</v>
      </c>
      <c r="D109" s="194" t="s">
        <v>1134</v>
      </c>
      <c r="E109" s="194" t="s">
        <v>1062</v>
      </c>
      <c r="F109" s="193" t="s">
        <v>1061</v>
      </c>
      <c r="G109" s="195" t="s">
        <v>1259</v>
      </c>
      <c r="H109" s="193" t="str">
        <f t="shared" si="1"/>
        <v>E254 Linear Feeder 02 Exit Stopper Both Reedswitch Present</v>
      </c>
      <c r="I109" s="163"/>
    </row>
    <row r="110" spans="2:9">
      <c r="B110" s="74">
        <v>108</v>
      </c>
      <c r="C110" s="193" t="s">
        <v>1273</v>
      </c>
      <c r="D110" s="194" t="s">
        <v>1134</v>
      </c>
      <c r="E110" s="194" t="s">
        <v>1062</v>
      </c>
      <c r="F110" s="193" t="s">
        <v>1061</v>
      </c>
      <c r="G110" s="195" t="s">
        <v>1261</v>
      </c>
      <c r="H110" s="193" t="str">
        <f t="shared" si="1"/>
        <v>E255 Linear Feeder 02 Exit Stopper Both Reedswitch Absent</v>
      </c>
      <c r="I110" s="163"/>
    </row>
    <row r="111" spans="2:9">
      <c r="B111" s="74">
        <v>109</v>
      </c>
      <c r="C111" s="193" t="s">
        <v>1274</v>
      </c>
      <c r="D111" s="194" t="s">
        <v>1134</v>
      </c>
      <c r="E111" s="194" t="s">
        <v>1062</v>
      </c>
      <c r="F111" s="193" t="s">
        <v>1061</v>
      </c>
      <c r="G111" s="195" t="s">
        <v>1269</v>
      </c>
      <c r="H111" s="193" t="str">
        <f t="shared" si="1"/>
        <v>E256 Linear Feeder 02 Exit Stopper Open Reedswitch Absent</v>
      </c>
      <c r="I111" s="163"/>
    </row>
    <row r="112" spans="2:9">
      <c r="B112" s="74">
        <v>110</v>
      </c>
      <c r="C112" s="193" t="s">
        <v>1275</v>
      </c>
      <c r="D112" s="194" t="s">
        <v>1134</v>
      </c>
      <c r="E112" s="194" t="s">
        <v>1062</v>
      </c>
      <c r="F112" s="193" t="s">
        <v>1061</v>
      </c>
      <c r="G112" s="195" t="s">
        <v>1271</v>
      </c>
      <c r="H112" s="193" t="str">
        <f t="shared" si="1"/>
        <v>E257 Linear Feeder 02 Exit Stopper Close Reedswitch Absent</v>
      </c>
      <c r="I112" s="163"/>
    </row>
    <row r="113" spans="2:9">
      <c r="B113" s="74">
        <v>111</v>
      </c>
      <c r="C113" s="193" t="s">
        <v>1276</v>
      </c>
      <c r="D113" s="194" t="s">
        <v>1134</v>
      </c>
      <c r="E113" s="194" t="s">
        <v>1064</v>
      </c>
      <c r="F113" s="193" t="s">
        <v>1055</v>
      </c>
      <c r="G113" s="195" t="s">
        <v>1259</v>
      </c>
      <c r="H113" s="193" t="str">
        <f t="shared" si="1"/>
        <v>E258 Plate Handling ROBOT 01 Gripper Both Reedswitch Present</v>
      </c>
      <c r="I113" s="163"/>
    </row>
    <row r="114" spans="2:9">
      <c r="B114" s="74">
        <v>112</v>
      </c>
      <c r="C114" s="193" t="s">
        <v>1277</v>
      </c>
      <c r="D114" s="194" t="s">
        <v>1134</v>
      </c>
      <c r="E114" s="194" t="s">
        <v>1064</v>
      </c>
      <c r="F114" s="193" t="s">
        <v>1055</v>
      </c>
      <c r="G114" s="195" t="s">
        <v>1261</v>
      </c>
      <c r="H114" s="193" t="str">
        <f t="shared" si="1"/>
        <v>E259 Plate Handling ROBOT 01 Gripper Both Reedswitch Absent</v>
      </c>
      <c r="I114" s="163"/>
    </row>
    <row r="115" spans="2:9">
      <c r="B115" s="74">
        <v>113</v>
      </c>
      <c r="C115" s="193" t="s">
        <v>1278</v>
      </c>
      <c r="D115" s="194" t="s">
        <v>1134</v>
      </c>
      <c r="E115" s="194" t="s">
        <v>1064</v>
      </c>
      <c r="F115" s="193" t="s">
        <v>1055</v>
      </c>
      <c r="G115" s="195" t="s">
        <v>1695</v>
      </c>
      <c r="H115" s="193" t="str">
        <f t="shared" si="1"/>
        <v>E260 Plate Handling ROBOT 01 Gripper Forward Reedswitch Absent</v>
      </c>
      <c r="I115" s="163"/>
    </row>
    <row r="116" spans="2:9">
      <c r="B116" s="74">
        <v>114</v>
      </c>
      <c r="C116" s="193" t="s">
        <v>1279</v>
      </c>
      <c r="D116" s="194" t="s">
        <v>1134</v>
      </c>
      <c r="E116" s="194" t="s">
        <v>1064</v>
      </c>
      <c r="F116" s="193" t="s">
        <v>1055</v>
      </c>
      <c r="G116" s="195" t="s">
        <v>1280</v>
      </c>
      <c r="H116" s="193" t="str">
        <f t="shared" si="1"/>
        <v>E261 Plate Handling ROBOT 01 Gripper Reverse Reedswitch Absent</v>
      </c>
      <c r="I116" s="163"/>
    </row>
    <row r="117" spans="2:9">
      <c r="B117" s="74">
        <v>115</v>
      </c>
      <c r="C117" s="193" t="s">
        <v>1281</v>
      </c>
      <c r="D117" s="194" t="s">
        <v>1134</v>
      </c>
      <c r="E117" s="194" t="s">
        <v>1068</v>
      </c>
      <c r="F117" s="193" t="s">
        <v>1063</v>
      </c>
      <c r="G117" s="195" t="s">
        <v>1259</v>
      </c>
      <c r="H117" s="193" t="str">
        <f t="shared" si="1"/>
        <v>E262 Tray 01 Side Guide Both Reedswitch Present</v>
      </c>
      <c r="I117" s="163"/>
    </row>
    <row r="118" spans="2:9">
      <c r="B118" s="74">
        <v>116</v>
      </c>
      <c r="C118" s="193" t="s">
        <v>1282</v>
      </c>
      <c r="D118" s="194" t="s">
        <v>1134</v>
      </c>
      <c r="E118" s="194" t="s">
        <v>1068</v>
      </c>
      <c r="F118" s="193" t="s">
        <v>1063</v>
      </c>
      <c r="G118" s="195" t="s">
        <v>1261</v>
      </c>
      <c r="H118" s="193" t="str">
        <f t="shared" si="1"/>
        <v>E263 Tray 01 Side Guide Both Reedswitch Absent</v>
      </c>
      <c r="I118" s="163"/>
    </row>
    <row r="119" spans="2:9">
      <c r="B119" s="74">
        <v>117</v>
      </c>
      <c r="C119" s="193" t="s">
        <v>1283</v>
      </c>
      <c r="D119" s="194" t="s">
        <v>1134</v>
      </c>
      <c r="E119" s="194" t="s">
        <v>1068</v>
      </c>
      <c r="F119" s="193" t="s">
        <v>1063</v>
      </c>
      <c r="G119" s="195" t="s">
        <v>1695</v>
      </c>
      <c r="H119" s="193" t="str">
        <f t="shared" si="1"/>
        <v>E264 Tray 01 Side Guide Forward Reedswitch Absent</v>
      </c>
      <c r="I119" s="163"/>
    </row>
    <row r="120" spans="2:9">
      <c r="B120" s="74">
        <v>118</v>
      </c>
      <c r="C120" s="193" t="s">
        <v>1284</v>
      </c>
      <c r="D120" s="194" t="s">
        <v>1134</v>
      </c>
      <c r="E120" s="194" t="s">
        <v>1068</v>
      </c>
      <c r="F120" s="193" t="s">
        <v>1063</v>
      </c>
      <c r="G120" s="195" t="s">
        <v>1280</v>
      </c>
      <c r="H120" s="193" t="str">
        <f t="shared" si="1"/>
        <v>E265 Tray 01 Side Guide Reverse Reedswitch Absent</v>
      </c>
      <c r="I120" s="163"/>
    </row>
    <row r="121" spans="2:9">
      <c r="B121" s="74">
        <v>119</v>
      </c>
      <c r="C121" s="193" t="s">
        <v>1285</v>
      </c>
      <c r="D121" s="194" t="s">
        <v>1134</v>
      </c>
      <c r="E121" s="194" t="s">
        <v>1070</v>
      </c>
      <c r="F121" s="193" t="s">
        <v>1067</v>
      </c>
      <c r="G121" s="195" t="s">
        <v>1259</v>
      </c>
      <c r="H121" s="193" t="str">
        <f t="shared" ref="H121:H184" si="2">CONCATENATE(C121,D121,F121,D121,G121)</f>
        <v>E266 Tray 01 Front Guide Both Reedswitch Present</v>
      </c>
      <c r="I121" s="163"/>
    </row>
    <row r="122" spans="2:9">
      <c r="B122" s="74">
        <v>120</v>
      </c>
      <c r="C122" s="193" t="s">
        <v>1286</v>
      </c>
      <c r="D122" s="194" t="s">
        <v>1134</v>
      </c>
      <c r="E122" s="194" t="s">
        <v>1070</v>
      </c>
      <c r="F122" s="193" t="s">
        <v>1067</v>
      </c>
      <c r="G122" s="195" t="s">
        <v>1261</v>
      </c>
      <c r="H122" s="193" t="str">
        <f t="shared" si="2"/>
        <v>E267 Tray 01 Front Guide Both Reedswitch Absent</v>
      </c>
      <c r="I122" s="163"/>
    </row>
    <row r="123" spans="2:9">
      <c r="B123" s="74">
        <v>121</v>
      </c>
      <c r="C123" s="193" t="s">
        <v>1287</v>
      </c>
      <c r="D123" s="194" t="s">
        <v>1134</v>
      </c>
      <c r="E123" s="194" t="s">
        <v>1070</v>
      </c>
      <c r="F123" s="193" t="s">
        <v>1067</v>
      </c>
      <c r="G123" s="193" t="s">
        <v>1288</v>
      </c>
      <c r="H123" s="193" t="str">
        <f t="shared" si="2"/>
        <v>E268 Tray 01 Front Guide Up Reedswitch Absent</v>
      </c>
      <c r="I123" s="163"/>
    </row>
    <row r="124" spans="2:9">
      <c r="B124" s="74">
        <v>122</v>
      </c>
      <c r="C124" s="193" t="s">
        <v>1289</v>
      </c>
      <c r="D124" s="194" t="s">
        <v>1134</v>
      </c>
      <c r="E124" s="194" t="s">
        <v>1070</v>
      </c>
      <c r="F124" s="193" t="s">
        <v>1067</v>
      </c>
      <c r="G124" s="193" t="s">
        <v>1290</v>
      </c>
      <c r="H124" s="193" t="str">
        <f t="shared" si="2"/>
        <v>E269 Tray 01 Front Guide Down Reedswitch Absent</v>
      </c>
      <c r="I124" s="163"/>
    </row>
    <row r="125" spans="2:9">
      <c r="B125" s="74">
        <v>123</v>
      </c>
      <c r="C125" s="193" t="s">
        <v>1291</v>
      </c>
      <c r="D125" s="194" t="s">
        <v>1134</v>
      </c>
      <c r="E125" s="194" t="s">
        <v>1073</v>
      </c>
      <c r="F125" s="193" t="s">
        <v>1692</v>
      </c>
      <c r="G125" s="195" t="s">
        <v>1259</v>
      </c>
      <c r="H125" s="193" t="str">
        <f t="shared" si="2"/>
        <v>E270 Tray 01 Stopper 01 Both Reedswitch Present</v>
      </c>
      <c r="I125" s="163"/>
    </row>
    <row r="126" spans="2:9">
      <c r="B126" s="74">
        <v>124</v>
      </c>
      <c r="C126" s="193" t="s">
        <v>1292</v>
      </c>
      <c r="D126" s="194" t="s">
        <v>1134</v>
      </c>
      <c r="E126" s="194" t="s">
        <v>1073</v>
      </c>
      <c r="F126" s="193" t="s">
        <v>1692</v>
      </c>
      <c r="G126" s="195" t="s">
        <v>1261</v>
      </c>
      <c r="H126" s="193" t="str">
        <f t="shared" si="2"/>
        <v>E271 Tray 01 Stopper 01 Both Reedswitch Absent</v>
      </c>
      <c r="I126" s="163"/>
    </row>
    <row r="127" spans="2:9">
      <c r="B127" s="74">
        <v>125</v>
      </c>
      <c r="C127" s="193" t="s">
        <v>1293</v>
      </c>
      <c r="D127" s="194" t="s">
        <v>1134</v>
      </c>
      <c r="E127" s="194" t="s">
        <v>1073</v>
      </c>
      <c r="F127" s="193" t="s">
        <v>1692</v>
      </c>
      <c r="G127" s="193" t="s">
        <v>1288</v>
      </c>
      <c r="H127" s="193" t="str">
        <f t="shared" si="2"/>
        <v>E272 Tray 01 Stopper 01 Up Reedswitch Absent</v>
      </c>
      <c r="I127" s="163"/>
    </row>
    <row r="128" spans="2:9">
      <c r="B128" s="74">
        <v>126</v>
      </c>
      <c r="C128" s="193" t="s">
        <v>1294</v>
      </c>
      <c r="D128" s="194" t="s">
        <v>1134</v>
      </c>
      <c r="E128" s="194" t="s">
        <v>1073</v>
      </c>
      <c r="F128" s="193" t="s">
        <v>1692</v>
      </c>
      <c r="G128" s="193" t="s">
        <v>1290</v>
      </c>
      <c r="H128" s="193" t="str">
        <f t="shared" si="2"/>
        <v>E273 Tray 01 Stopper 01 Down Reedswitch Absent</v>
      </c>
      <c r="I128" s="163"/>
    </row>
    <row r="129" spans="2:9">
      <c r="B129" s="74">
        <v>127</v>
      </c>
      <c r="C129" s="193" t="s">
        <v>1295</v>
      </c>
      <c r="D129" s="194" t="s">
        <v>1134</v>
      </c>
      <c r="E129" s="194" t="s">
        <v>1694</v>
      </c>
      <c r="F129" s="193" t="s">
        <v>1693</v>
      </c>
      <c r="G129" s="195" t="s">
        <v>1259</v>
      </c>
      <c r="H129" s="193" t="str">
        <f t="shared" si="2"/>
        <v>E274 Tray 01 Stopper 02 Both Reedswitch Present</v>
      </c>
      <c r="I129" s="163"/>
    </row>
    <row r="130" spans="2:9">
      <c r="B130" s="74">
        <v>128</v>
      </c>
      <c r="C130" s="193" t="s">
        <v>1296</v>
      </c>
      <c r="D130" s="194" t="s">
        <v>1134</v>
      </c>
      <c r="E130" s="194" t="s">
        <v>1694</v>
      </c>
      <c r="F130" s="193" t="s">
        <v>1693</v>
      </c>
      <c r="G130" s="195" t="s">
        <v>1261</v>
      </c>
      <c r="H130" s="193" t="str">
        <f t="shared" si="2"/>
        <v>E275 Tray 01 Stopper 02 Both Reedswitch Absent</v>
      </c>
      <c r="I130" s="163"/>
    </row>
    <row r="131" spans="2:9">
      <c r="B131" s="74">
        <v>129</v>
      </c>
      <c r="C131" s="193" t="s">
        <v>1297</v>
      </c>
      <c r="D131" s="194" t="s">
        <v>1134</v>
      </c>
      <c r="E131" s="194" t="s">
        <v>1694</v>
      </c>
      <c r="F131" s="193" t="s">
        <v>1693</v>
      </c>
      <c r="G131" s="193" t="s">
        <v>1288</v>
      </c>
      <c r="H131" s="193" t="str">
        <f t="shared" si="2"/>
        <v>E276 Tray 01 Stopper 02 Up Reedswitch Absent</v>
      </c>
      <c r="I131" s="163"/>
    </row>
    <row r="132" spans="2:9">
      <c r="B132" s="74">
        <v>130</v>
      </c>
      <c r="C132" s="193" t="s">
        <v>1298</v>
      </c>
      <c r="D132" s="194" t="s">
        <v>1134</v>
      </c>
      <c r="E132" s="194" t="s">
        <v>1694</v>
      </c>
      <c r="F132" s="193" t="s">
        <v>1693</v>
      </c>
      <c r="G132" s="193" t="s">
        <v>1290</v>
      </c>
      <c r="H132" s="193" t="str">
        <f t="shared" si="2"/>
        <v>E277 Tray 01 Stopper 02 Down Reedswitch Absent</v>
      </c>
      <c r="I132" s="163"/>
    </row>
    <row r="133" spans="2:9">
      <c r="B133" s="74">
        <v>131</v>
      </c>
      <c r="C133" s="193" t="s">
        <v>1299</v>
      </c>
      <c r="D133" s="194" t="s">
        <v>1134</v>
      </c>
      <c r="E133" s="194" t="s">
        <v>1075</v>
      </c>
      <c r="F133" s="193" t="s">
        <v>579</v>
      </c>
      <c r="G133" s="195" t="s">
        <v>1259</v>
      </c>
      <c r="H133" s="193" t="str">
        <f t="shared" si="2"/>
        <v>E278 Tray 01 Pusher UP FB Both Reedswitch Present</v>
      </c>
      <c r="I133" s="163"/>
    </row>
    <row r="134" spans="2:9">
      <c r="B134" s="74">
        <v>132</v>
      </c>
      <c r="C134" s="193" t="s">
        <v>1300</v>
      </c>
      <c r="D134" s="194" t="s">
        <v>1134</v>
      </c>
      <c r="E134" s="194" t="s">
        <v>1075</v>
      </c>
      <c r="F134" s="193" t="s">
        <v>579</v>
      </c>
      <c r="G134" s="195" t="s">
        <v>1261</v>
      </c>
      <c r="H134" s="193" t="str">
        <f t="shared" si="2"/>
        <v>E279 Tray 01 Pusher UP FB Both Reedswitch Absent</v>
      </c>
      <c r="I134" s="163"/>
    </row>
    <row r="135" spans="2:9">
      <c r="B135" s="74">
        <v>133</v>
      </c>
      <c r="C135" s="193" t="s">
        <v>1301</v>
      </c>
      <c r="D135" s="194" t="s">
        <v>1134</v>
      </c>
      <c r="E135" s="194" t="s">
        <v>1075</v>
      </c>
      <c r="F135" s="193" t="s">
        <v>579</v>
      </c>
      <c r="G135" s="193" t="s">
        <v>1269</v>
      </c>
      <c r="H135" s="193" t="str">
        <f t="shared" si="2"/>
        <v>E280 Tray 01 Pusher UP FB Open Reedswitch Absent</v>
      </c>
      <c r="I135" s="163"/>
    </row>
    <row r="136" spans="2:9">
      <c r="B136" s="74">
        <v>134</v>
      </c>
      <c r="C136" s="193" t="s">
        <v>1302</v>
      </c>
      <c r="D136" s="194" t="s">
        <v>1134</v>
      </c>
      <c r="E136" s="194" t="s">
        <v>1075</v>
      </c>
      <c r="F136" s="193" t="s">
        <v>579</v>
      </c>
      <c r="G136" s="193" t="s">
        <v>1271</v>
      </c>
      <c r="H136" s="193" t="str">
        <f t="shared" si="2"/>
        <v>E281 Tray 01 Pusher UP FB Close Reedswitch Absent</v>
      </c>
      <c r="I136" s="163"/>
    </row>
    <row r="137" spans="2:9">
      <c r="B137" s="74">
        <v>135</v>
      </c>
      <c r="C137" s="193" t="s">
        <v>1303</v>
      </c>
      <c r="D137" s="194" t="s">
        <v>1134</v>
      </c>
      <c r="E137" s="194" t="s">
        <v>1077</v>
      </c>
      <c r="F137" s="193" t="s">
        <v>1074</v>
      </c>
      <c r="G137" s="195" t="s">
        <v>1259</v>
      </c>
      <c r="H137" s="193" t="str">
        <f t="shared" si="2"/>
        <v>E282 Plate Handling ROBOT 02 Gripper Both Reedswitch Present</v>
      </c>
      <c r="I137" s="163"/>
    </row>
    <row r="138" spans="2:9">
      <c r="B138" s="74">
        <v>136</v>
      </c>
      <c r="C138" s="193" t="s">
        <v>1304</v>
      </c>
      <c r="D138" s="194" t="s">
        <v>1134</v>
      </c>
      <c r="E138" s="194" t="s">
        <v>1077</v>
      </c>
      <c r="F138" s="193" t="s">
        <v>1074</v>
      </c>
      <c r="G138" s="195" t="s">
        <v>1261</v>
      </c>
      <c r="H138" s="193" t="str">
        <f t="shared" si="2"/>
        <v>E283 Plate Handling ROBOT 02 Gripper Both Reedswitch Absent</v>
      </c>
      <c r="I138" s="163"/>
    </row>
    <row r="139" spans="2:9">
      <c r="B139" s="74">
        <v>137</v>
      </c>
      <c r="C139" s="193" t="s">
        <v>1305</v>
      </c>
      <c r="D139" s="194" t="s">
        <v>1134</v>
      </c>
      <c r="E139" s="194" t="s">
        <v>1077</v>
      </c>
      <c r="F139" s="193" t="s">
        <v>1074</v>
      </c>
      <c r="G139" s="195" t="s">
        <v>1269</v>
      </c>
      <c r="H139" s="193" t="str">
        <f t="shared" si="2"/>
        <v>E284 Plate Handling ROBOT 02 Gripper Open Reedswitch Absent</v>
      </c>
      <c r="I139" s="163"/>
    </row>
    <row r="140" spans="2:9">
      <c r="B140" s="74">
        <v>138</v>
      </c>
      <c r="C140" s="193" t="s">
        <v>1306</v>
      </c>
      <c r="D140" s="194" t="s">
        <v>1134</v>
      </c>
      <c r="E140" s="194" t="s">
        <v>1077</v>
      </c>
      <c r="F140" s="193" t="s">
        <v>1074</v>
      </c>
      <c r="G140" s="195" t="s">
        <v>1271</v>
      </c>
      <c r="H140" s="193" t="str">
        <f t="shared" si="2"/>
        <v>E285 Plate Handling ROBOT 02 Gripper Close Reedswitch Absent</v>
      </c>
      <c r="I140" s="163"/>
    </row>
    <row r="141" spans="2:9">
      <c r="B141" s="74">
        <v>139</v>
      </c>
      <c r="C141" s="193" t="s">
        <v>1307</v>
      </c>
      <c r="D141" s="194" t="s">
        <v>1134</v>
      </c>
      <c r="E141" s="194" t="s">
        <v>1079</v>
      </c>
      <c r="F141" s="193" t="s">
        <v>1078</v>
      </c>
      <c r="G141" s="195" t="s">
        <v>1259</v>
      </c>
      <c r="H141" s="193" t="str">
        <f t="shared" si="2"/>
        <v>E286 Tray 02 Side Guide Both Reedswitch Present</v>
      </c>
      <c r="I141" s="163"/>
    </row>
    <row r="142" spans="2:9">
      <c r="B142" s="74">
        <v>140</v>
      </c>
      <c r="C142" s="193" t="s">
        <v>1308</v>
      </c>
      <c r="D142" s="194" t="s">
        <v>1134</v>
      </c>
      <c r="E142" s="194" t="s">
        <v>1079</v>
      </c>
      <c r="F142" s="193" t="s">
        <v>1078</v>
      </c>
      <c r="G142" s="195" t="s">
        <v>1261</v>
      </c>
      <c r="H142" s="193" t="str">
        <f t="shared" si="2"/>
        <v>E287 Tray 02 Side Guide Both Reedswitch Absent</v>
      </c>
      <c r="I142" s="163"/>
    </row>
    <row r="143" spans="2:9">
      <c r="B143" s="74">
        <v>141</v>
      </c>
      <c r="C143" s="193" t="s">
        <v>1309</v>
      </c>
      <c r="D143" s="194" t="s">
        <v>1134</v>
      </c>
      <c r="E143" s="194" t="s">
        <v>1079</v>
      </c>
      <c r="F143" s="193" t="s">
        <v>1078</v>
      </c>
      <c r="G143" s="195" t="s">
        <v>1695</v>
      </c>
      <c r="H143" s="193" t="str">
        <f t="shared" si="2"/>
        <v>E288 Tray 02 Side Guide Forward Reedswitch Absent</v>
      </c>
      <c r="I143" s="163"/>
    </row>
    <row r="144" spans="2:9">
      <c r="B144" s="74">
        <v>142</v>
      </c>
      <c r="C144" s="193" t="s">
        <v>1310</v>
      </c>
      <c r="D144" s="194" t="s">
        <v>1134</v>
      </c>
      <c r="E144" s="194" t="s">
        <v>1079</v>
      </c>
      <c r="F144" s="193" t="s">
        <v>1078</v>
      </c>
      <c r="G144" s="195" t="s">
        <v>1280</v>
      </c>
      <c r="H144" s="193" t="str">
        <f t="shared" si="2"/>
        <v>E289 Tray 02 Side Guide Reverse Reedswitch Absent</v>
      </c>
      <c r="I144" s="163"/>
    </row>
    <row r="145" spans="2:9">
      <c r="B145" s="74">
        <v>143</v>
      </c>
      <c r="C145" s="193" t="s">
        <v>1311</v>
      </c>
      <c r="D145" s="194" t="s">
        <v>1134</v>
      </c>
      <c r="E145" s="194" t="s">
        <v>1081</v>
      </c>
      <c r="F145" s="193" t="s">
        <v>1080</v>
      </c>
      <c r="G145" s="195" t="s">
        <v>1259</v>
      </c>
      <c r="H145" s="193" t="str">
        <f t="shared" si="2"/>
        <v>E290 Tray 02 Front Guide Both Reedswitch Present</v>
      </c>
      <c r="I145" s="163"/>
    </row>
    <row r="146" spans="2:9">
      <c r="B146" s="74">
        <v>144</v>
      </c>
      <c r="C146" s="193" t="s">
        <v>1313</v>
      </c>
      <c r="D146" s="194" t="s">
        <v>1134</v>
      </c>
      <c r="E146" s="194" t="s">
        <v>1081</v>
      </c>
      <c r="F146" s="193" t="s">
        <v>1080</v>
      </c>
      <c r="G146" s="195" t="s">
        <v>1261</v>
      </c>
      <c r="H146" s="193" t="str">
        <f t="shared" si="2"/>
        <v>E291 Tray 02 Front Guide Both Reedswitch Absent</v>
      </c>
      <c r="I146" s="163"/>
    </row>
    <row r="147" spans="2:9">
      <c r="B147" s="74">
        <v>145</v>
      </c>
      <c r="C147" s="193" t="s">
        <v>1314</v>
      </c>
      <c r="D147" s="194" t="s">
        <v>1134</v>
      </c>
      <c r="E147" s="194" t="s">
        <v>1081</v>
      </c>
      <c r="F147" s="193" t="s">
        <v>1080</v>
      </c>
      <c r="G147" s="195" t="s">
        <v>1695</v>
      </c>
      <c r="H147" s="193" t="str">
        <f t="shared" si="2"/>
        <v>E292 Tray 02 Front Guide Forward Reedswitch Absent</v>
      </c>
      <c r="I147" s="163"/>
    </row>
    <row r="148" spans="2:9">
      <c r="B148" s="74">
        <v>146</v>
      </c>
      <c r="C148" s="193" t="s">
        <v>1315</v>
      </c>
      <c r="D148" s="194" t="s">
        <v>1134</v>
      </c>
      <c r="E148" s="194" t="s">
        <v>1081</v>
      </c>
      <c r="F148" s="193" t="s">
        <v>1080</v>
      </c>
      <c r="G148" s="195" t="s">
        <v>1280</v>
      </c>
      <c r="H148" s="193" t="str">
        <f t="shared" si="2"/>
        <v>E293 Tray 02 Front Guide Reverse Reedswitch Absent</v>
      </c>
      <c r="I148" s="163"/>
    </row>
    <row r="149" spans="2:9">
      <c r="B149" s="74">
        <v>147</v>
      </c>
      <c r="C149" s="193" t="s">
        <v>1316</v>
      </c>
      <c r="D149" s="194" t="s">
        <v>1134</v>
      </c>
      <c r="E149" s="194" t="s">
        <v>1083</v>
      </c>
      <c r="F149" s="193" t="s">
        <v>1312</v>
      </c>
      <c r="G149" s="195" t="s">
        <v>1259</v>
      </c>
      <c r="H149" s="193" t="str">
        <f t="shared" si="2"/>
        <v>E294 Tray 02 Stopper 01 Both Reedswitch Present</v>
      </c>
      <c r="I149" s="163"/>
    </row>
    <row r="150" spans="2:9">
      <c r="B150" s="74">
        <v>148</v>
      </c>
      <c r="C150" s="193" t="s">
        <v>1319</v>
      </c>
      <c r="D150" s="194" t="s">
        <v>1134</v>
      </c>
      <c r="E150" s="194" t="s">
        <v>1083</v>
      </c>
      <c r="F150" s="193" t="s">
        <v>1312</v>
      </c>
      <c r="G150" s="195" t="s">
        <v>1261</v>
      </c>
      <c r="H150" s="193" t="str">
        <f t="shared" si="2"/>
        <v>E295 Tray 02 Stopper 01 Both Reedswitch Absent</v>
      </c>
      <c r="I150" s="163"/>
    </row>
    <row r="151" spans="2:9">
      <c r="B151" s="74">
        <v>149</v>
      </c>
      <c r="C151" s="193" t="s">
        <v>1320</v>
      </c>
      <c r="D151" s="194" t="s">
        <v>1134</v>
      </c>
      <c r="E151" s="194" t="s">
        <v>1083</v>
      </c>
      <c r="F151" s="193" t="s">
        <v>1312</v>
      </c>
      <c r="G151" s="193" t="s">
        <v>1288</v>
      </c>
      <c r="H151" s="193" t="str">
        <f t="shared" si="2"/>
        <v>E296 Tray 02 Stopper 01 Up Reedswitch Absent</v>
      </c>
      <c r="I151" s="163"/>
    </row>
    <row r="152" spans="2:9">
      <c r="B152" s="74">
        <v>150</v>
      </c>
      <c r="C152" s="193" t="s">
        <v>1321</v>
      </c>
      <c r="D152" s="194" t="s">
        <v>1134</v>
      </c>
      <c r="E152" s="194" t="s">
        <v>1083</v>
      </c>
      <c r="F152" s="193" t="s">
        <v>1312</v>
      </c>
      <c r="G152" s="193" t="s">
        <v>1290</v>
      </c>
      <c r="H152" s="193" t="str">
        <f t="shared" si="2"/>
        <v>E297 Tray 02 Stopper 01 Down Reedswitch Absent</v>
      </c>
      <c r="I152" s="163"/>
    </row>
    <row r="153" spans="2:9">
      <c r="B153" s="74">
        <v>151</v>
      </c>
      <c r="C153" s="193" t="s">
        <v>1322</v>
      </c>
      <c r="D153" s="194" t="s">
        <v>1134</v>
      </c>
      <c r="E153" s="194" t="s">
        <v>1317</v>
      </c>
      <c r="F153" s="193" t="s">
        <v>1318</v>
      </c>
      <c r="G153" s="195" t="s">
        <v>1259</v>
      </c>
      <c r="H153" s="193" t="str">
        <f t="shared" si="2"/>
        <v>E298 Tray 02 Stopper 02 Both Reedswitch Present</v>
      </c>
      <c r="I153" s="163"/>
    </row>
    <row r="154" spans="2:9">
      <c r="B154" s="74">
        <v>152</v>
      </c>
      <c r="C154" s="193" t="s">
        <v>1323</v>
      </c>
      <c r="D154" s="194" t="s">
        <v>1134</v>
      </c>
      <c r="E154" s="194" t="s">
        <v>1317</v>
      </c>
      <c r="F154" s="193" t="s">
        <v>1318</v>
      </c>
      <c r="G154" s="195" t="s">
        <v>1261</v>
      </c>
      <c r="H154" s="193" t="str">
        <f t="shared" si="2"/>
        <v>E299 Tray 02 Stopper 02 Both Reedswitch Absent</v>
      </c>
      <c r="I154" s="163"/>
    </row>
    <row r="155" spans="2:9">
      <c r="B155" s="74">
        <v>153</v>
      </c>
      <c r="C155" s="193" t="s">
        <v>1324</v>
      </c>
      <c r="D155" s="194" t="s">
        <v>1134</v>
      </c>
      <c r="E155" s="194" t="s">
        <v>1317</v>
      </c>
      <c r="F155" s="193" t="s">
        <v>1318</v>
      </c>
      <c r="G155" s="193" t="s">
        <v>1288</v>
      </c>
      <c r="H155" s="193" t="str">
        <f t="shared" si="2"/>
        <v>E300 Tray 02 Stopper 02 Up Reedswitch Absent</v>
      </c>
      <c r="I155" s="163"/>
    </row>
    <row r="156" spans="2:9">
      <c r="B156" s="74">
        <v>154</v>
      </c>
      <c r="C156" s="193" t="s">
        <v>1325</v>
      </c>
      <c r="D156" s="194" t="s">
        <v>1134</v>
      </c>
      <c r="E156" s="194" t="s">
        <v>1317</v>
      </c>
      <c r="F156" s="193" t="s">
        <v>1318</v>
      </c>
      <c r="G156" s="193" t="s">
        <v>1290</v>
      </c>
      <c r="H156" s="193" t="str">
        <f t="shared" si="2"/>
        <v>E301 Tray 02 Stopper 02 Down Reedswitch Absent</v>
      </c>
      <c r="I156" s="163"/>
    </row>
    <row r="157" spans="2:9">
      <c r="B157" s="74">
        <v>155</v>
      </c>
      <c r="C157" s="193" t="s">
        <v>1326</v>
      </c>
      <c r="D157" s="194" t="s">
        <v>1134</v>
      </c>
      <c r="E157" s="194" t="s">
        <v>1084</v>
      </c>
      <c r="F157" s="193" t="s">
        <v>604</v>
      </c>
      <c r="G157" s="195" t="s">
        <v>1259</v>
      </c>
      <c r="H157" s="193" t="str">
        <f t="shared" si="2"/>
        <v>E302 Tray 02 Pusher UP FB Both Reedswitch Present</v>
      </c>
      <c r="I157" s="163"/>
    </row>
    <row r="158" spans="2:9">
      <c r="B158" s="74">
        <v>156</v>
      </c>
      <c r="C158" s="193" t="s">
        <v>1327</v>
      </c>
      <c r="D158" s="194" t="s">
        <v>1134</v>
      </c>
      <c r="E158" s="194" t="s">
        <v>1084</v>
      </c>
      <c r="F158" s="193" t="s">
        <v>604</v>
      </c>
      <c r="G158" s="195" t="s">
        <v>1261</v>
      </c>
      <c r="H158" s="193" t="str">
        <f t="shared" si="2"/>
        <v>E303 Tray 02 Pusher UP FB Both Reedswitch Absent</v>
      </c>
      <c r="I158" s="163"/>
    </row>
    <row r="159" spans="2:9">
      <c r="B159" s="74">
        <v>157</v>
      </c>
      <c r="C159" s="193" t="s">
        <v>1328</v>
      </c>
      <c r="D159" s="194" t="s">
        <v>1134</v>
      </c>
      <c r="E159" s="194" t="s">
        <v>1084</v>
      </c>
      <c r="F159" s="193" t="s">
        <v>604</v>
      </c>
      <c r="G159" s="193" t="s">
        <v>1288</v>
      </c>
      <c r="H159" s="193" t="str">
        <f t="shared" si="2"/>
        <v>E304 Tray 02 Pusher UP FB Up Reedswitch Absent</v>
      </c>
      <c r="I159" s="163"/>
    </row>
    <row r="160" spans="2:9">
      <c r="B160" s="74">
        <v>158</v>
      </c>
      <c r="C160" s="193" t="s">
        <v>1329</v>
      </c>
      <c r="D160" s="194" t="s">
        <v>1134</v>
      </c>
      <c r="E160" s="194" t="s">
        <v>1084</v>
      </c>
      <c r="F160" s="193" t="s">
        <v>604</v>
      </c>
      <c r="G160" s="193" t="s">
        <v>1290</v>
      </c>
      <c r="H160" s="193" t="str">
        <f t="shared" si="2"/>
        <v>E305 Tray 02 Pusher UP FB Down Reedswitch Absent</v>
      </c>
      <c r="I160" s="163"/>
    </row>
    <row r="161" spans="2:9">
      <c r="B161" s="74">
        <v>159</v>
      </c>
      <c r="C161" s="193" t="s">
        <v>1330</v>
      </c>
      <c r="D161" s="194" t="s">
        <v>1134</v>
      </c>
      <c r="E161" s="194" t="s">
        <v>1086</v>
      </c>
      <c r="F161" s="193" t="s">
        <v>1085</v>
      </c>
      <c r="G161" s="195" t="s">
        <v>1259</v>
      </c>
      <c r="H161" s="193" t="str">
        <f t="shared" si="2"/>
        <v>E306 Tray Insertion Servo Slide Pusher Both Reedswitch Present</v>
      </c>
      <c r="I161" s="163"/>
    </row>
    <row r="162" spans="2:9">
      <c r="B162" s="74">
        <v>160</v>
      </c>
      <c r="C162" s="193" t="s">
        <v>1331</v>
      </c>
      <c r="D162" s="194" t="s">
        <v>1134</v>
      </c>
      <c r="E162" s="194" t="s">
        <v>1086</v>
      </c>
      <c r="F162" s="193" t="s">
        <v>1085</v>
      </c>
      <c r="G162" s="195" t="s">
        <v>1261</v>
      </c>
      <c r="H162" s="193" t="str">
        <f t="shared" si="2"/>
        <v>E307 Tray Insertion Servo Slide Pusher Both Reedswitch Absent</v>
      </c>
      <c r="I162" s="163"/>
    </row>
    <row r="163" spans="2:9">
      <c r="B163" s="74">
        <v>161</v>
      </c>
      <c r="C163" s="193" t="s">
        <v>1332</v>
      </c>
      <c r="D163" s="194" t="s">
        <v>1134</v>
      </c>
      <c r="E163" s="194" t="s">
        <v>1086</v>
      </c>
      <c r="F163" s="193" t="s">
        <v>1085</v>
      </c>
      <c r="G163" s="193" t="s">
        <v>1288</v>
      </c>
      <c r="H163" s="193" t="str">
        <f>CONCATENATE(C163,D163,F163,D163,G163)</f>
        <v>E308 Tray Insertion Servo Slide Pusher Up Reedswitch Absent</v>
      </c>
      <c r="I163" s="163"/>
    </row>
    <row r="164" spans="2:9">
      <c r="B164" s="74">
        <v>162</v>
      </c>
      <c r="C164" s="193" t="s">
        <v>1333</v>
      </c>
      <c r="D164" s="194" t="s">
        <v>1134</v>
      </c>
      <c r="E164" s="194" t="s">
        <v>1086</v>
      </c>
      <c r="F164" s="193" t="s">
        <v>1085</v>
      </c>
      <c r="G164" s="193" t="s">
        <v>1290</v>
      </c>
      <c r="H164" s="193" t="str">
        <f t="shared" si="2"/>
        <v>E309 Tray Insertion Servo Slide Pusher Down Reedswitch Absent</v>
      </c>
      <c r="I164" s="163"/>
    </row>
    <row r="165" spans="2:9">
      <c r="B165" s="74">
        <v>163</v>
      </c>
      <c r="C165" s="193" t="s">
        <v>1334</v>
      </c>
      <c r="D165" s="194" t="s">
        <v>1134</v>
      </c>
      <c r="E165" s="194" t="s">
        <v>1088</v>
      </c>
      <c r="F165" s="193" t="s">
        <v>1087</v>
      </c>
      <c r="G165" s="195" t="s">
        <v>1259</v>
      </c>
      <c r="H165" s="193" t="str">
        <f t="shared" si="2"/>
        <v>E310 Tray Insertion Servo Tray Stopper Both Reedswitch Present</v>
      </c>
      <c r="I165" s="163"/>
    </row>
    <row r="166" spans="2:9">
      <c r="B166" s="74">
        <v>164</v>
      </c>
      <c r="C166" s="193" t="s">
        <v>1336</v>
      </c>
      <c r="D166" s="194" t="s">
        <v>1134</v>
      </c>
      <c r="E166" s="194" t="s">
        <v>1088</v>
      </c>
      <c r="F166" s="193" t="s">
        <v>1087</v>
      </c>
      <c r="G166" s="195" t="s">
        <v>1261</v>
      </c>
      <c r="H166" s="193" t="str">
        <f t="shared" si="2"/>
        <v>E311 Tray Insertion Servo Tray Stopper Both Reedswitch Absent</v>
      </c>
      <c r="I166" s="163"/>
    </row>
    <row r="167" spans="2:9">
      <c r="B167" s="74">
        <v>165</v>
      </c>
      <c r="C167" s="193" t="s">
        <v>1337</v>
      </c>
      <c r="D167" s="194" t="s">
        <v>1134</v>
      </c>
      <c r="E167" s="194" t="s">
        <v>1088</v>
      </c>
      <c r="F167" s="193" t="s">
        <v>1087</v>
      </c>
      <c r="G167" s="193" t="s">
        <v>1288</v>
      </c>
      <c r="H167" s="193" t="str">
        <f t="shared" si="2"/>
        <v>E312 Tray Insertion Servo Tray Stopper Up Reedswitch Absent</v>
      </c>
      <c r="I167" s="163"/>
    </row>
    <row r="168" spans="2:9">
      <c r="B168" s="74">
        <v>166</v>
      </c>
      <c r="C168" s="193" t="s">
        <v>1339</v>
      </c>
      <c r="D168" s="194" t="s">
        <v>1134</v>
      </c>
      <c r="E168" s="194" t="s">
        <v>1088</v>
      </c>
      <c r="F168" s="193" t="s">
        <v>1087</v>
      </c>
      <c r="G168" s="193" t="s">
        <v>1290</v>
      </c>
      <c r="H168" s="193" t="str">
        <f t="shared" si="2"/>
        <v>E313 Tray Insertion Servo Tray Stopper Down Reedswitch Absent</v>
      </c>
      <c r="I168" s="163"/>
    </row>
    <row r="169" spans="2:9">
      <c r="B169" s="74">
        <v>167</v>
      </c>
      <c r="C169" s="193" t="s">
        <v>1341</v>
      </c>
      <c r="D169" s="194" t="s">
        <v>1134</v>
      </c>
      <c r="E169" s="194" t="s">
        <v>1090</v>
      </c>
      <c r="F169" s="193" t="s">
        <v>1335</v>
      </c>
      <c r="G169" s="195" t="s">
        <v>1259</v>
      </c>
      <c r="H169" s="193" t="str">
        <f t="shared" si="2"/>
        <v>E314 Bag Opening Swing Arm 1 Both Reedswitch Present</v>
      </c>
      <c r="I169" s="163"/>
    </row>
    <row r="170" spans="2:9">
      <c r="B170" s="74">
        <v>168</v>
      </c>
      <c r="C170" s="193" t="s">
        <v>1344</v>
      </c>
      <c r="D170" s="194" t="s">
        <v>1134</v>
      </c>
      <c r="E170" s="194" t="s">
        <v>1090</v>
      </c>
      <c r="F170" s="193" t="s">
        <v>1335</v>
      </c>
      <c r="G170" s="195" t="s">
        <v>1261</v>
      </c>
      <c r="H170" s="193" t="str">
        <f t="shared" si="2"/>
        <v>E315 Bag Opening Swing Arm 1 Both Reedswitch Absent</v>
      </c>
      <c r="I170" s="163"/>
    </row>
    <row r="171" spans="2:9">
      <c r="B171" s="74">
        <v>169</v>
      </c>
      <c r="C171" s="193" t="s">
        <v>1345</v>
      </c>
      <c r="D171" s="194" t="s">
        <v>1134</v>
      </c>
      <c r="E171" s="194" t="s">
        <v>1090</v>
      </c>
      <c r="F171" s="193" t="s">
        <v>1335</v>
      </c>
      <c r="G171" s="195" t="s">
        <v>1338</v>
      </c>
      <c r="H171" s="193" t="str">
        <f t="shared" si="2"/>
        <v>E316 Bag Opening Swing Arm 1 In Reedswitch Absent</v>
      </c>
      <c r="I171" s="163"/>
    </row>
    <row r="172" spans="2:9">
      <c r="B172" s="74">
        <v>170</v>
      </c>
      <c r="C172" s="193" t="s">
        <v>1346</v>
      </c>
      <c r="D172" s="194" t="s">
        <v>1134</v>
      </c>
      <c r="E172" s="194" t="s">
        <v>1090</v>
      </c>
      <c r="F172" s="193" t="s">
        <v>1335</v>
      </c>
      <c r="G172" s="195" t="s">
        <v>1340</v>
      </c>
      <c r="H172" s="193" t="str">
        <f t="shared" si="2"/>
        <v>E317 Bag Opening Swing Arm 1 Out Reedswitch Absent</v>
      </c>
      <c r="I172" s="163"/>
    </row>
    <row r="173" spans="2:9">
      <c r="B173" s="74">
        <v>171</v>
      </c>
      <c r="C173" s="193" t="s">
        <v>1347</v>
      </c>
      <c r="D173" s="194" t="s">
        <v>1134</v>
      </c>
      <c r="E173" s="194" t="s">
        <v>1342</v>
      </c>
      <c r="F173" s="193" t="s">
        <v>1343</v>
      </c>
      <c r="G173" s="195" t="s">
        <v>1259</v>
      </c>
      <c r="H173" s="193" t="str">
        <f t="shared" si="2"/>
        <v>E318 Bag Opening Swing Arm 2 Both Reedswitch Present</v>
      </c>
      <c r="I173" s="163"/>
    </row>
    <row r="174" spans="2:9">
      <c r="B174" s="74">
        <v>172</v>
      </c>
      <c r="C174" s="193" t="s">
        <v>1348</v>
      </c>
      <c r="D174" s="194" t="s">
        <v>1134</v>
      </c>
      <c r="E174" s="194" t="s">
        <v>1342</v>
      </c>
      <c r="F174" s="193" t="s">
        <v>1343</v>
      </c>
      <c r="G174" s="195" t="s">
        <v>1261</v>
      </c>
      <c r="H174" s="193" t="str">
        <f t="shared" si="2"/>
        <v>E319 Bag Opening Swing Arm 2 Both Reedswitch Absent</v>
      </c>
      <c r="I174" s="163"/>
    </row>
    <row r="175" spans="2:9">
      <c r="B175" s="74">
        <v>173</v>
      </c>
      <c r="C175" s="193" t="s">
        <v>1349</v>
      </c>
      <c r="D175" s="194" t="s">
        <v>1134</v>
      </c>
      <c r="E175" s="194" t="s">
        <v>1342</v>
      </c>
      <c r="F175" s="193" t="s">
        <v>1343</v>
      </c>
      <c r="G175" s="195" t="s">
        <v>1338</v>
      </c>
      <c r="H175" s="193" t="str">
        <f t="shared" si="2"/>
        <v>E320 Bag Opening Swing Arm 2 In Reedswitch Absent</v>
      </c>
      <c r="I175" s="163"/>
    </row>
    <row r="176" spans="2:9">
      <c r="B176" s="74">
        <v>174</v>
      </c>
      <c r="C176" s="193" t="s">
        <v>1350</v>
      </c>
      <c r="D176" s="194" t="s">
        <v>1134</v>
      </c>
      <c r="E176" s="194" t="s">
        <v>1342</v>
      </c>
      <c r="F176" s="193" t="s">
        <v>1343</v>
      </c>
      <c r="G176" s="195" t="s">
        <v>1340</v>
      </c>
      <c r="H176" s="193" t="str">
        <f t="shared" si="2"/>
        <v>E321 Bag Opening Swing Arm 2 Out Reedswitch Absent</v>
      </c>
      <c r="I176" s="163"/>
    </row>
    <row r="177" spans="2:9">
      <c r="B177" s="74">
        <v>175</v>
      </c>
      <c r="C177" s="193" t="s">
        <v>1351</v>
      </c>
      <c r="D177" s="194" t="s">
        <v>1134</v>
      </c>
      <c r="E177" s="194" t="s">
        <v>1094</v>
      </c>
      <c r="F177" s="193" t="s">
        <v>1093</v>
      </c>
      <c r="G177" s="195" t="s">
        <v>1259</v>
      </c>
      <c r="H177" s="193" t="str">
        <f t="shared" si="2"/>
        <v>E322 Bag Opening Swing Arm Stretch Both Reedswitch Present</v>
      </c>
      <c r="I177" s="163"/>
    </row>
    <row r="178" spans="2:9">
      <c r="B178" s="74">
        <v>176</v>
      </c>
      <c r="C178" s="193" t="s">
        <v>1352</v>
      </c>
      <c r="D178" s="194" t="s">
        <v>1134</v>
      </c>
      <c r="E178" s="194" t="s">
        <v>1094</v>
      </c>
      <c r="F178" s="193" t="s">
        <v>1093</v>
      </c>
      <c r="G178" s="195" t="s">
        <v>1261</v>
      </c>
      <c r="H178" s="193" t="str">
        <f t="shared" si="2"/>
        <v>E323 Bag Opening Swing Arm Stretch Both Reedswitch Absent</v>
      </c>
      <c r="I178" s="163"/>
    </row>
    <row r="179" spans="2:9">
      <c r="B179" s="74">
        <v>177</v>
      </c>
      <c r="C179" s="193" t="s">
        <v>1353</v>
      </c>
      <c r="D179" s="194" t="s">
        <v>1134</v>
      </c>
      <c r="E179" s="194" t="s">
        <v>1094</v>
      </c>
      <c r="F179" s="193" t="s">
        <v>1093</v>
      </c>
      <c r="G179" s="195" t="s">
        <v>1338</v>
      </c>
      <c r="H179" s="193" t="str">
        <f t="shared" si="2"/>
        <v>E324 Bag Opening Swing Arm Stretch In Reedswitch Absent</v>
      </c>
      <c r="I179" s="163"/>
    </row>
    <row r="180" spans="2:9">
      <c r="B180" s="74">
        <v>178</v>
      </c>
      <c r="C180" s="193" t="s">
        <v>1354</v>
      </c>
      <c r="D180" s="194" t="s">
        <v>1134</v>
      </c>
      <c r="E180" s="194" t="s">
        <v>1094</v>
      </c>
      <c r="F180" s="193" t="s">
        <v>1093</v>
      </c>
      <c r="G180" s="195" t="s">
        <v>1340</v>
      </c>
      <c r="H180" s="193" t="str">
        <f t="shared" si="2"/>
        <v>E325 Bag Opening Swing Arm Stretch Out Reedswitch Absent</v>
      </c>
      <c r="I180" s="163"/>
    </row>
    <row r="181" spans="2:9">
      <c r="B181" s="74">
        <v>179</v>
      </c>
      <c r="C181" s="193" t="s">
        <v>1355</v>
      </c>
      <c r="D181" s="194" t="s">
        <v>1134</v>
      </c>
      <c r="E181" s="194" t="s">
        <v>1096</v>
      </c>
      <c r="F181" s="193" t="s">
        <v>1095</v>
      </c>
      <c r="G181" s="195" t="s">
        <v>1259</v>
      </c>
      <c r="H181" s="193" t="str">
        <f t="shared" si="2"/>
        <v>E326 Bag Opening Vacuum Cup Lifter Both Reedswitch Present</v>
      </c>
      <c r="I181" s="163"/>
    </row>
    <row r="182" spans="2:9">
      <c r="B182" s="74">
        <v>180</v>
      </c>
      <c r="C182" s="193" t="s">
        <v>1356</v>
      </c>
      <c r="D182" s="194" t="s">
        <v>1134</v>
      </c>
      <c r="E182" s="194" t="s">
        <v>1096</v>
      </c>
      <c r="F182" s="193" t="s">
        <v>1095</v>
      </c>
      <c r="G182" s="195" t="s">
        <v>1261</v>
      </c>
      <c r="H182" s="193" t="str">
        <f t="shared" si="2"/>
        <v>E327 Bag Opening Vacuum Cup Lifter Both Reedswitch Absent</v>
      </c>
      <c r="I182" s="163"/>
    </row>
    <row r="183" spans="2:9">
      <c r="B183" s="74">
        <v>181</v>
      </c>
      <c r="C183" s="193" t="s">
        <v>1357</v>
      </c>
      <c r="D183" s="194" t="s">
        <v>1134</v>
      </c>
      <c r="E183" s="194" t="s">
        <v>1096</v>
      </c>
      <c r="F183" s="193" t="s">
        <v>1095</v>
      </c>
      <c r="G183" s="193" t="s">
        <v>1288</v>
      </c>
      <c r="H183" s="193" t="str">
        <f t="shared" si="2"/>
        <v>E328 Bag Opening Vacuum Cup Lifter Up Reedswitch Absent</v>
      </c>
      <c r="I183" s="163"/>
    </row>
    <row r="184" spans="2:9">
      <c r="B184" s="74">
        <v>182</v>
      </c>
      <c r="C184" s="193" t="s">
        <v>1358</v>
      </c>
      <c r="D184" s="194" t="s">
        <v>1134</v>
      </c>
      <c r="E184" s="194" t="s">
        <v>1096</v>
      </c>
      <c r="F184" s="193" t="s">
        <v>1095</v>
      </c>
      <c r="G184" s="193" t="s">
        <v>1290</v>
      </c>
      <c r="H184" s="193" t="str">
        <f t="shared" si="2"/>
        <v>E329 Bag Opening Vacuum Cup Lifter Down Reedswitch Absent</v>
      </c>
      <c r="I184" s="163"/>
    </row>
    <row r="185" spans="2:9">
      <c r="B185" s="74">
        <v>183</v>
      </c>
      <c r="C185" s="193" t="s">
        <v>1359</v>
      </c>
      <c r="D185" s="194" t="s">
        <v>1134</v>
      </c>
      <c r="E185" s="194" t="s">
        <v>1098</v>
      </c>
      <c r="F185" s="193" t="s">
        <v>1097</v>
      </c>
      <c r="G185" s="195" t="s">
        <v>1259</v>
      </c>
      <c r="H185" s="193" t="str">
        <f t="shared" ref="H185:H248" si="3">CONCATENATE(C185,D185,F185,D185,G185)</f>
        <v>E330 Tray Stacker Safety Cover Slide Both Reedswitch Present</v>
      </c>
      <c r="I185" s="163"/>
    </row>
    <row r="186" spans="2:9">
      <c r="B186" s="74">
        <v>184</v>
      </c>
      <c r="C186" s="193" t="s">
        <v>1360</v>
      </c>
      <c r="D186" s="194" t="s">
        <v>1134</v>
      </c>
      <c r="E186" s="194" t="s">
        <v>1098</v>
      </c>
      <c r="F186" s="193" t="s">
        <v>1097</v>
      </c>
      <c r="G186" s="195" t="s">
        <v>1261</v>
      </c>
      <c r="H186" s="193" t="str">
        <f t="shared" si="3"/>
        <v>E331 Tray Stacker Safety Cover Slide Both Reedswitch Absent</v>
      </c>
      <c r="I186" s="163"/>
    </row>
    <row r="187" spans="2:9">
      <c r="B187" s="74">
        <v>185</v>
      </c>
      <c r="C187" s="193" t="s">
        <v>1361</v>
      </c>
      <c r="D187" s="194" t="s">
        <v>1134</v>
      </c>
      <c r="E187" s="194" t="s">
        <v>1098</v>
      </c>
      <c r="F187" s="193" t="s">
        <v>1097</v>
      </c>
      <c r="G187" s="195" t="s">
        <v>1263</v>
      </c>
      <c r="H187" s="193" t="str">
        <f t="shared" si="3"/>
        <v>E332 Tray Stacker Safety Cover Slide Position 01 Reedswitch Absent</v>
      </c>
      <c r="I187" s="163"/>
    </row>
    <row r="188" spans="2:9">
      <c r="B188" s="74">
        <v>186</v>
      </c>
      <c r="C188" s="193" t="s">
        <v>1362</v>
      </c>
      <c r="D188" s="194" t="s">
        <v>1134</v>
      </c>
      <c r="E188" s="194" t="s">
        <v>1098</v>
      </c>
      <c r="F188" s="193" t="s">
        <v>1097</v>
      </c>
      <c r="G188" s="195" t="s">
        <v>1265</v>
      </c>
      <c r="H188" s="193" t="str">
        <f t="shared" si="3"/>
        <v>E333 Tray Stacker Safety Cover Slide Position 02 Reedswitch Absent</v>
      </c>
      <c r="I188" s="163"/>
    </row>
    <row r="189" spans="2:9">
      <c r="B189" s="74">
        <v>187</v>
      </c>
      <c r="C189" s="193" t="s">
        <v>1363</v>
      </c>
      <c r="D189" s="194" t="s">
        <v>1134</v>
      </c>
      <c r="E189" s="194" t="s">
        <v>1100</v>
      </c>
      <c r="F189" s="193" t="s">
        <v>1099</v>
      </c>
      <c r="G189" s="195" t="s">
        <v>1259</v>
      </c>
      <c r="H189" s="193" t="str">
        <f t="shared" si="3"/>
        <v>E334 Tray Stacker 01 Tray Centering Both Reedswitch Present</v>
      </c>
      <c r="I189" s="163"/>
    </row>
    <row r="190" spans="2:9">
      <c r="B190" s="74">
        <v>188</v>
      </c>
      <c r="C190" s="193" t="s">
        <v>1364</v>
      </c>
      <c r="D190" s="194" t="s">
        <v>1134</v>
      </c>
      <c r="E190" s="194" t="s">
        <v>1100</v>
      </c>
      <c r="F190" s="193" t="s">
        <v>1099</v>
      </c>
      <c r="G190" s="195" t="s">
        <v>1261</v>
      </c>
      <c r="H190" s="193" t="str">
        <f t="shared" si="3"/>
        <v>E335 Tray Stacker 01 Tray Centering Both Reedswitch Absent</v>
      </c>
      <c r="I190" s="163"/>
    </row>
    <row r="191" spans="2:9">
      <c r="B191" s="74">
        <v>189</v>
      </c>
      <c r="C191" s="193" t="s">
        <v>1365</v>
      </c>
      <c r="D191" s="194" t="s">
        <v>1134</v>
      </c>
      <c r="E191" s="194" t="s">
        <v>1100</v>
      </c>
      <c r="F191" s="193" t="s">
        <v>1099</v>
      </c>
      <c r="G191" s="195" t="s">
        <v>1338</v>
      </c>
      <c r="H191" s="193" t="str">
        <f t="shared" si="3"/>
        <v>E336 Tray Stacker 01 Tray Centering In Reedswitch Absent</v>
      </c>
      <c r="I191" s="163"/>
    </row>
    <row r="192" spans="2:9">
      <c r="B192" s="74">
        <v>190</v>
      </c>
      <c r="C192" s="193" t="s">
        <v>1366</v>
      </c>
      <c r="D192" s="194" t="s">
        <v>1134</v>
      </c>
      <c r="E192" s="194" t="s">
        <v>1100</v>
      </c>
      <c r="F192" s="193" t="s">
        <v>1099</v>
      </c>
      <c r="G192" s="195" t="s">
        <v>1340</v>
      </c>
      <c r="H192" s="193" t="str">
        <f t="shared" si="3"/>
        <v>E337 Tray Stacker 01 Tray Centering Out Reedswitch Absent</v>
      </c>
      <c r="I192" s="163"/>
    </row>
    <row r="193" spans="2:9">
      <c r="B193" s="74">
        <v>191</v>
      </c>
      <c r="C193" s="193" t="s">
        <v>1367</v>
      </c>
      <c r="D193" s="194" t="s">
        <v>1134</v>
      </c>
      <c r="E193" s="194" t="s">
        <v>1102</v>
      </c>
      <c r="F193" s="193" t="s">
        <v>1101</v>
      </c>
      <c r="G193" s="195" t="s">
        <v>1259</v>
      </c>
      <c r="H193" s="193" t="str">
        <f t="shared" si="3"/>
        <v>E338 Tray Stacker 01 Tray Referencing Both Reedswitch Present</v>
      </c>
      <c r="I193" s="163"/>
    </row>
    <row r="194" spans="2:9">
      <c r="B194" s="74">
        <v>192</v>
      </c>
      <c r="C194" s="193" t="s">
        <v>1368</v>
      </c>
      <c r="D194" s="194" t="s">
        <v>1134</v>
      </c>
      <c r="E194" s="194" t="s">
        <v>1102</v>
      </c>
      <c r="F194" s="193" t="s">
        <v>1101</v>
      </c>
      <c r="G194" s="195" t="s">
        <v>1261</v>
      </c>
      <c r="H194" s="193" t="str">
        <f t="shared" si="3"/>
        <v>E339 Tray Stacker 01 Tray Referencing Both Reedswitch Absent</v>
      </c>
      <c r="I194" s="163"/>
    </row>
    <row r="195" spans="2:9">
      <c r="B195" s="74">
        <v>193</v>
      </c>
      <c r="C195" s="193" t="s">
        <v>1369</v>
      </c>
      <c r="D195" s="194" t="s">
        <v>1134</v>
      </c>
      <c r="E195" s="194" t="s">
        <v>1102</v>
      </c>
      <c r="F195" s="193" t="s">
        <v>1101</v>
      </c>
      <c r="G195" s="195" t="s">
        <v>1695</v>
      </c>
      <c r="H195" s="193" t="str">
        <f t="shared" si="3"/>
        <v>E340 Tray Stacker 01 Tray Referencing Forward Reedswitch Absent</v>
      </c>
      <c r="I195" s="163"/>
    </row>
    <row r="196" spans="2:9">
      <c r="B196" s="74">
        <v>194</v>
      </c>
      <c r="C196" s="193" t="s">
        <v>1370</v>
      </c>
      <c r="D196" s="194" t="s">
        <v>1134</v>
      </c>
      <c r="E196" s="194" t="s">
        <v>1102</v>
      </c>
      <c r="F196" s="193" t="s">
        <v>1101</v>
      </c>
      <c r="G196" s="195" t="s">
        <v>1280</v>
      </c>
      <c r="H196" s="193" t="str">
        <f t="shared" si="3"/>
        <v>E341 Tray Stacker 01 Tray Referencing Reverse Reedswitch Absent</v>
      </c>
      <c r="I196" s="163"/>
    </row>
    <row r="197" spans="2:9">
      <c r="B197" s="74">
        <v>195</v>
      </c>
      <c r="C197" s="193" t="s">
        <v>1371</v>
      </c>
      <c r="D197" s="194" t="s">
        <v>1134</v>
      </c>
      <c r="E197" s="194" t="s">
        <v>1104</v>
      </c>
      <c r="F197" s="193" t="s">
        <v>1103</v>
      </c>
      <c r="G197" s="195" t="s">
        <v>1259</v>
      </c>
      <c r="H197" s="193" t="str">
        <f t="shared" si="3"/>
        <v>E342 Tray Stacker 02 Tray Centering Both Reedswitch Present</v>
      </c>
      <c r="I197" s="163"/>
    </row>
    <row r="198" spans="2:9">
      <c r="B198" s="74">
        <v>196</v>
      </c>
      <c r="C198" s="193" t="s">
        <v>1372</v>
      </c>
      <c r="D198" s="194" t="s">
        <v>1134</v>
      </c>
      <c r="E198" s="194" t="s">
        <v>1104</v>
      </c>
      <c r="F198" s="193" t="s">
        <v>1103</v>
      </c>
      <c r="G198" s="195" t="s">
        <v>1261</v>
      </c>
      <c r="H198" s="193" t="str">
        <f t="shared" si="3"/>
        <v>E343 Tray Stacker 02 Tray Centering Both Reedswitch Absent</v>
      </c>
      <c r="I198" s="163"/>
    </row>
    <row r="199" spans="2:9">
      <c r="B199" s="74">
        <v>197</v>
      </c>
      <c r="C199" s="193" t="s">
        <v>1373</v>
      </c>
      <c r="D199" s="194" t="s">
        <v>1134</v>
      </c>
      <c r="E199" s="194" t="s">
        <v>1104</v>
      </c>
      <c r="F199" s="193" t="s">
        <v>1103</v>
      </c>
      <c r="G199" s="195" t="s">
        <v>1338</v>
      </c>
      <c r="H199" s="193" t="str">
        <f t="shared" si="3"/>
        <v>E344 Tray Stacker 02 Tray Centering In Reedswitch Absent</v>
      </c>
      <c r="I199" s="163"/>
    </row>
    <row r="200" spans="2:9">
      <c r="B200" s="74">
        <v>198</v>
      </c>
      <c r="C200" s="193" t="s">
        <v>1374</v>
      </c>
      <c r="D200" s="194" t="s">
        <v>1134</v>
      </c>
      <c r="E200" s="194" t="s">
        <v>1104</v>
      </c>
      <c r="F200" s="193" t="s">
        <v>1103</v>
      </c>
      <c r="G200" s="195" t="s">
        <v>1340</v>
      </c>
      <c r="H200" s="193" t="str">
        <f t="shared" si="3"/>
        <v>E345 Tray Stacker 02 Tray Centering Out Reedswitch Absent</v>
      </c>
      <c r="I200" s="163"/>
    </row>
    <row r="201" spans="2:9">
      <c r="B201" s="74">
        <v>199</v>
      </c>
      <c r="C201" s="193" t="s">
        <v>1375</v>
      </c>
      <c r="D201" s="194" t="s">
        <v>1134</v>
      </c>
      <c r="E201" s="194" t="s">
        <v>1106</v>
      </c>
      <c r="F201" s="193" t="s">
        <v>1105</v>
      </c>
      <c r="G201" s="195" t="s">
        <v>1259</v>
      </c>
      <c r="H201" s="193" t="str">
        <f t="shared" si="3"/>
        <v>E346 Tray Stacker 02 Tray Referencing Both Reedswitch Present</v>
      </c>
      <c r="I201" s="163"/>
    </row>
    <row r="202" spans="2:9">
      <c r="B202" s="74">
        <v>200</v>
      </c>
      <c r="C202" s="193" t="s">
        <v>1376</v>
      </c>
      <c r="D202" s="194" t="s">
        <v>1134</v>
      </c>
      <c r="E202" s="194" t="s">
        <v>1106</v>
      </c>
      <c r="F202" s="193" t="s">
        <v>1105</v>
      </c>
      <c r="G202" s="195" t="s">
        <v>1261</v>
      </c>
      <c r="H202" s="193" t="str">
        <f>CONCATENATE(C202,D202,F202,D202,G202)</f>
        <v>E347 Tray Stacker 02 Tray Referencing Both Reedswitch Absent</v>
      </c>
      <c r="I202" s="163"/>
    </row>
    <row r="203" spans="2:9">
      <c r="B203" s="74">
        <v>201</v>
      </c>
      <c r="C203" s="193" t="s">
        <v>1377</v>
      </c>
      <c r="D203" s="194" t="s">
        <v>1134</v>
      </c>
      <c r="E203" s="194" t="s">
        <v>1106</v>
      </c>
      <c r="F203" s="193" t="s">
        <v>1105</v>
      </c>
      <c r="G203" s="195" t="s">
        <v>1695</v>
      </c>
      <c r="H203" s="193" t="str">
        <f t="shared" si="3"/>
        <v>E348 Tray Stacker 02 Tray Referencing Forward Reedswitch Absent</v>
      </c>
      <c r="I203" s="163"/>
    </row>
    <row r="204" spans="2:9">
      <c r="B204" s="74">
        <v>202</v>
      </c>
      <c r="C204" s="193" t="s">
        <v>1378</v>
      </c>
      <c r="D204" s="194" t="s">
        <v>1134</v>
      </c>
      <c r="E204" s="194" t="s">
        <v>1106</v>
      </c>
      <c r="F204" s="193" t="s">
        <v>1105</v>
      </c>
      <c r="G204" s="195" t="s">
        <v>1280</v>
      </c>
      <c r="H204" s="193" t="str">
        <f t="shared" si="3"/>
        <v>E349 Tray Stacker 02 Tray Referencing Reverse Reedswitch Absent</v>
      </c>
      <c r="I204" s="163"/>
    </row>
    <row r="205" spans="2:9">
      <c r="B205" s="74">
        <v>203</v>
      </c>
      <c r="C205" s="193" t="s">
        <v>1379</v>
      </c>
      <c r="D205" s="194" t="s">
        <v>1134</v>
      </c>
      <c r="E205" s="194" t="s">
        <v>1108</v>
      </c>
      <c r="F205" s="193" t="s">
        <v>1107</v>
      </c>
      <c r="G205" s="195" t="s">
        <v>1259</v>
      </c>
      <c r="H205" s="193" t="str">
        <f t="shared" si="3"/>
        <v>E350 Tray Transfer ROBOT Tray Lifter Both Reedswitch Present</v>
      </c>
      <c r="I205" s="163"/>
    </row>
    <row r="206" spans="2:9">
      <c r="B206" s="74">
        <v>204</v>
      </c>
      <c r="C206" s="193" t="s">
        <v>1381</v>
      </c>
      <c r="D206" s="194" t="s">
        <v>1134</v>
      </c>
      <c r="E206" s="194" t="s">
        <v>1108</v>
      </c>
      <c r="F206" s="193" t="s">
        <v>1107</v>
      </c>
      <c r="G206" s="195" t="s">
        <v>1261</v>
      </c>
      <c r="H206" s="193" t="str">
        <f t="shared" si="3"/>
        <v>E351 Tray Transfer ROBOT Tray Lifter Both Reedswitch Absent</v>
      </c>
      <c r="I206" s="163"/>
    </row>
    <row r="207" spans="2:9">
      <c r="B207" s="74">
        <v>205</v>
      </c>
      <c r="C207" s="193" t="s">
        <v>1382</v>
      </c>
      <c r="D207" s="194" t="s">
        <v>1134</v>
      </c>
      <c r="E207" s="194" t="s">
        <v>1108</v>
      </c>
      <c r="F207" s="193" t="s">
        <v>1107</v>
      </c>
      <c r="G207" s="193" t="s">
        <v>1288</v>
      </c>
      <c r="H207" s="193" t="str">
        <f t="shared" si="3"/>
        <v>E352 Tray Transfer ROBOT Tray Lifter Up Reedswitch Absent</v>
      </c>
      <c r="I207" s="163"/>
    </row>
    <row r="208" spans="2:9">
      <c r="B208" s="74">
        <v>206</v>
      </c>
      <c r="C208" s="193" t="s">
        <v>1384</v>
      </c>
      <c r="D208" s="194" t="s">
        <v>1134</v>
      </c>
      <c r="E208" s="194" t="s">
        <v>1108</v>
      </c>
      <c r="F208" s="193" t="s">
        <v>1107</v>
      </c>
      <c r="G208" s="193" t="s">
        <v>1290</v>
      </c>
      <c r="H208" s="193" t="str">
        <f t="shared" si="3"/>
        <v>E353 Tray Transfer ROBOT Tray Lifter Down Reedswitch Absent</v>
      </c>
      <c r="I208" s="163"/>
    </row>
    <row r="209" spans="2:9">
      <c r="B209" s="74">
        <v>207</v>
      </c>
      <c r="C209" s="193" t="s">
        <v>1386</v>
      </c>
      <c r="D209" s="194" t="s">
        <v>1134</v>
      </c>
      <c r="E209" s="194" t="s">
        <v>1110</v>
      </c>
      <c r="F209" s="193" t="s">
        <v>1109</v>
      </c>
      <c r="G209" s="195" t="s">
        <v>1380</v>
      </c>
      <c r="H209" s="193" t="str">
        <f t="shared" si="3"/>
        <v>E354 Tray Transfer ROBOT Tray Vacuum Cup Sapre</v>
      </c>
      <c r="I209" s="163"/>
    </row>
    <row r="210" spans="2:9">
      <c r="B210" s="74">
        <v>208</v>
      </c>
      <c r="C210" s="193" t="s">
        <v>1387</v>
      </c>
      <c r="D210" s="194" t="s">
        <v>1134</v>
      </c>
      <c r="E210" s="194" t="s">
        <v>1110</v>
      </c>
      <c r="F210" s="193" t="s">
        <v>1109</v>
      </c>
      <c r="G210" s="195" t="s">
        <v>1380</v>
      </c>
      <c r="H210" s="193" t="str">
        <f t="shared" si="3"/>
        <v>E355 Tray Transfer ROBOT Tray Vacuum Cup Sapre</v>
      </c>
      <c r="I210" s="163"/>
    </row>
    <row r="211" spans="2:9">
      <c r="B211" s="74">
        <v>209</v>
      </c>
      <c r="C211" s="193" t="s">
        <v>1388</v>
      </c>
      <c r="D211" s="194" t="s">
        <v>1134</v>
      </c>
      <c r="E211" s="194" t="s">
        <v>1110</v>
      </c>
      <c r="F211" s="193" t="s">
        <v>1109</v>
      </c>
      <c r="G211" s="195" t="s">
        <v>1383</v>
      </c>
      <c r="H211" s="193" t="str">
        <f t="shared" si="3"/>
        <v>E356 Tray Transfer ROBOT Tray Vacuum Cup Vacuum On Feedback Absent</v>
      </c>
      <c r="I211" s="163"/>
    </row>
    <row r="212" spans="2:9">
      <c r="B212" s="74">
        <v>210</v>
      </c>
      <c r="C212" s="193" t="s">
        <v>1389</v>
      </c>
      <c r="D212" s="194" t="s">
        <v>1134</v>
      </c>
      <c r="E212" s="194" t="s">
        <v>1110</v>
      </c>
      <c r="F212" s="193" t="s">
        <v>1109</v>
      </c>
      <c r="G212" s="195" t="s">
        <v>1385</v>
      </c>
      <c r="H212" s="193" t="str">
        <f t="shared" si="3"/>
        <v>E357 Tray Transfer ROBOT Tray Vacuum Cup Vacuum Off Feedback Absent</v>
      </c>
      <c r="I212" s="163"/>
    </row>
    <row r="213" spans="2:9">
      <c r="B213" s="74">
        <v>211</v>
      </c>
      <c r="C213" s="193" t="s">
        <v>1390</v>
      </c>
      <c r="D213" s="194" t="s">
        <v>1134</v>
      </c>
      <c r="E213" s="194" t="s">
        <v>1113</v>
      </c>
      <c r="F213" s="193" t="s">
        <v>1112</v>
      </c>
      <c r="G213" s="195" t="s">
        <v>1380</v>
      </c>
      <c r="H213" s="193" t="str">
        <f t="shared" si="3"/>
        <v>E358 Bag Transfer Robot Vacuum Cup Sapre</v>
      </c>
      <c r="I213" s="163"/>
    </row>
    <row r="214" spans="2:9">
      <c r="B214" s="74">
        <v>212</v>
      </c>
      <c r="C214" s="193" t="s">
        <v>1391</v>
      </c>
      <c r="D214" s="194" t="s">
        <v>1134</v>
      </c>
      <c r="E214" s="194" t="s">
        <v>1113</v>
      </c>
      <c r="F214" s="193" t="s">
        <v>1112</v>
      </c>
      <c r="G214" s="195" t="s">
        <v>1380</v>
      </c>
      <c r="H214" s="193" t="str">
        <f t="shared" si="3"/>
        <v>E359 Bag Transfer Robot Vacuum Cup Sapre</v>
      </c>
      <c r="I214" s="163"/>
    </row>
    <row r="215" spans="2:9">
      <c r="B215" s="74">
        <v>213</v>
      </c>
      <c r="C215" s="193" t="s">
        <v>1392</v>
      </c>
      <c r="D215" s="194" t="s">
        <v>1134</v>
      </c>
      <c r="E215" s="194" t="s">
        <v>1113</v>
      </c>
      <c r="F215" s="193" t="s">
        <v>1112</v>
      </c>
      <c r="G215" s="195" t="s">
        <v>1383</v>
      </c>
      <c r="H215" s="193" t="str">
        <f t="shared" si="3"/>
        <v>E360 Bag Transfer Robot Vacuum Cup Vacuum On Feedback Absent</v>
      </c>
      <c r="I215" s="163"/>
    </row>
    <row r="216" spans="2:9">
      <c r="B216" s="74">
        <v>214</v>
      </c>
      <c r="C216" s="193" t="s">
        <v>1393</v>
      </c>
      <c r="D216" s="194" t="s">
        <v>1134</v>
      </c>
      <c r="E216" s="194" t="s">
        <v>1113</v>
      </c>
      <c r="F216" s="193" t="s">
        <v>1112</v>
      </c>
      <c r="G216" s="195" t="s">
        <v>1385</v>
      </c>
      <c r="H216" s="193" t="str">
        <f t="shared" si="3"/>
        <v>E361 Bag Transfer Robot Vacuum Cup Vacuum Off Feedback Absent</v>
      </c>
      <c r="I216" s="163"/>
    </row>
    <row r="217" spans="2:9">
      <c r="B217" s="74">
        <v>215</v>
      </c>
      <c r="C217" s="193" t="s">
        <v>1394</v>
      </c>
      <c r="D217" s="194" t="s">
        <v>1134</v>
      </c>
      <c r="E217" s="194" t="s">
        <v>1115</v>
      </c>
      <c r="F217" s="193" t="s">
        <v>1114</v>
      </c>
      <c r="G217" s="195" t="s">
        <v>1259</v>
      </c>
      <c r="H217" s="193" t="str">
        <f t="shared" si="3"/>
        <v>E362 Sealing Unit Heating Jaw Both Reedswitch Present</v>
      </c>
      <c r="I217" s="163"/>
    </row>
    <row r="218" spans="2:9">
      <c r="B218" s="74">
        <v>216</v>
      </c>
      <c r="C218" s="193" t="s">
        <v>1395</v>
      </c>
      <c r="D218" s="194" t="s">
        <v>1134</v>
      </c>
      <c r="E218" s="194" t="s">
        <v>1115</v>
      </c>
      <c r="F218" s="193" t="s">
        <v>1114</v>
      </c>
      <c r="G218" s="195" t="s">
        <v>1261</v>
      </c>
      <c r="H218" s="193" t="str">
        <f>CONCATENATE(C218,D218,F218,D218,G218)</f>
        <v>E363 Sealing Unit Heating Jaw Both Reedswitch Absent</v>
      </c>
      <c r="I218" s="163"/>
    </row>
    <row r="219" spans="2:9">
      <c r="B219" s="74">
        <v>217</v>
      </c>
      <c r="C219" s="193" t="s">
        <v>1396</v>
      </c>
      <c r="D219" s="194" t="s">
        <v>1134</v>
      </c>
      <c r="E219" s="194" t="s">
        <v>1115</v>
      </c>
      <c r="F219" s="193" t="s">
        <v>1114</v>
      </c>
      <c r="G219" s="163" t="s">
        <v>1288</v>
      </c>
      <c r="H219" s="193" t="str">
        <f t="shared" si="3"/>
        <v>E364 Sealing Unit Heating Jaw Up Reedswitch Absent</v>
      </c>
      <c r="I219" s="163"/>
    </row>
    <row r="220" spans="2:9">
      <c r="B220" s="74">
        <v>218</v>
      </c>
      <c r="C220" s="193" t="s">
        <v>1397</v>
      </c>
      <c r="D220" s="194" t="s">
        <v>1134</v>
      </c>
      <c r="E220" s="194" t="s">
        <v>1115</v>
      </c>
      <c r="F220" s="193" t="s">
        <v>1114</v>
      </c>
      <c r="G220" s="163" t="s">
        <v>1290</v>
      </c>
      <c r="H220" s="193" t="str">
        <f t="shared" si="3"/>
        <v>E365 Sealing Unit Heating Jaw Down Reedswitch Absent</v>
      </c>
      <c r="I220" s="163"/>
    </row>
    <row r="221" spans="2:9">
      <c r="B221" s="74">
        <v>219</v>
      </c>
      <c r="C221" s="193" t="s">
        <v>1398</v>
      </c>
      <c r="D221" s="194" t="s">
        <v>1134</v>
      </c>
      <c r="E221" s="194" t="s">
        <v>1117</v>
      </c>
      <c r="F221" s="193" t="s">
        <v>1116</v>
      </c>
      <c r="G221" s="195" t="s">
        <v>1259</v>
      </c>
      <c r="H221" s="193" t="str">
        <f t="shared" si="3"/>
        <v>E366 Sealing Unit Vacuum Jaw Both Reedswitch Present</v>
      </c>
      <c r="I221" s="163"/>
    </row>
    <row r="222" spans="2:9">
      <c r="B222" s="74">
        <v>220</v>
      </c>
      <c r="C222" s="193" t="s">
        <v>1399</v>
      </c>
      <c r="D222" s="194" t="s">
        <v>1134</v>
      </c>
      <c r="E222" s="194" t="s">
        <v>1117</v>
      </c>
      <c r="F222" s="193" t="s">
        <v>1116</v>
      </c>
      <c r="G222" s="195" t="s">
        <v>1261</v>
      </c>
      <c r="H222" s="193" t="str">
        <f t="shared" si="3"/>
        <v>E367 Sealing Unit Vacuum Jaw Both Reedswitch Absent</v>
      </c>
      <c r="I222" s="163"/>
    </row>
    <row r="223" spans="2:9">
      <c r="B223" s="74">
        <v>221</v>
      </c>
      <c r="C223" s="193" t="s">
        <v>1400</v>
      </c>
      <c r="D223" s="194" t="s">
        <v>1134</v>
      </c>
      <c r="E223" s="194" t="s">
        <v>1117</v>
      </c>
      <c r="F223" s="193" t="s">
        <v>1116</v>
      </c>
      <c r="G223" s="195" t="s">
        <v>1695</v>
      </c>
      <c r="H223" s="193" t="str">
        <f t="shared" si="3"/>
        <v>E368 Sealing Unit Vacuum Jaw Forward Reedswitch Absent</v>
      </c>
      <c r="I223" s="163"/>
    </row>
    <row r="224" spans="2:9">
      <c r="B224" s="74">
        <v>222</v>
      </c>
      <c r="C224" s="193" t="s">
        <v>1401</v>
      </c>
      <c r="D224" s="194" t="s">
        <v>1134</v>
      </c>
      <c r="E224" s="194" t="s">
        <v>1117</v>
      </c>
      <c r="F224" s="193" t="s">
        <v>1116</v>
      </c>
      <c r="G224" s="195" t="s">
        <v>1280</v>
      </c>
      <c r="H224" s="193" t="str">
        <f t="shared" si="3"/>
        <v>E369 Sealing Unit Vacuum Jaw Reverse Reedswitch Absent</v>
      </c>
      <c r="I224" s="163"/>
    </row>
    <row r="225" spans="2:9">
      <c r="B225" s="74">
        <v>223</v>
      </c>
      <c r="C225" s="193" t="s">
        <v>1402</v>
      </c>
      <c r="D225" s="194" t="s">
        <v>1134</v>
      </c>
      <c r="E225" s="194" t="s">
        <v>1120</v>
      </c>
      <c r="F225" s="193" t="s">
        <v>1119</v>
      </c>
      <c r="G225" s="195" t="s">
        <v>1259</v>
      </c>
      <c r="H225" s="193" t="str">
        <f t="shared" si="3"/>
        <v>E370 Sealing Unit Bag Opening Cylinder Both Reedswitch Present</v>
      </c>
      <c r="I225" s="163"/>
    </row>
    <row r="226" spans="2:9">
      <c r="B226" s="74">
        <v>224</v>
      </c>
      <c r="C226" s="193" t="s">
        <v>1403</v>
      </c>
      <c r="D226" s="194" t="s">
        <v>1134</v>
      </c>
      <c r="E226" s="194" t="s">
        <v>1120</v>
      </c>
      <c r="F226" s="193" t="s">
        <v>1119</v>
      </c>
      <c r="G226" s="195" t="s">
        <v>1261</v>
      </c>
      <c r="H226" s="193" t="str">
        <f t="shared" si="3"/>
        <v>E371 Sealing Unit Bag Opening Cylinder Both Reedswitch Absent</v>
      </c>
      <c r="I226" s="163"/>
    </row>
    <row r="227" spans="2:9">
      <c r="B227" s="74">
        <v>225</v>
      </c>
      <c r="C227" s="193" t="s">
        <v>1404</v>
      </c>
      <c r="D227" s="194" t="s">
        <v>1134</v>
      </c>
      <c r="E227" s="194" t="s">
        <v>1120</v>
      </c>
      <c r="F227" s="193" t="s">
        <v>1119</v>
      </c>
      <c r="G227" s="193" t="s">
        <v>1288</v>
      </c>
      <c r="H227" s="193" t="str">
        <f t="shared" si="3"/>
        <v>E372 Sealing Unit Bag Opening Cylinder Up Reedswitch Absent</v>
      </c>
      <c r="I227" s="163"/>
    </row>
    <row r="228" spans="2:9">
      <c r="B228" s="74">
        <v>226</v>
      </c>
      <c r="C228" s="193" t="s">
        <v>1405</v>
      </c>
      <c r="D228" s="194" t="s">
        <v>1134</v>
      </c>
      <c r="E228" s="194" t="s">
        <v>1120</v>
      </c>
      <c r="F228" s="193" t="s">
        <v>1119</v>
      </c>
      <c r="G228" s="193" t="s">
        <v>1290</v>
      </c>
      <c r="H228" s="193" t="str">
        <f t="shared" si="3"/>
        <v>E373 Sealing Unit Bag Opening Cylinder Down Reedswitch Absent</v>
      </c>
      <c r="I228" s="163"/>
    </row>
    <row r="229" spans="2:9">
      <c r="B229" s="74">
        <v>227</v>
      </c>
      <c r="C229" s="193" t="s">
        <v>1406</v>
      </c>
      <c r="D229" s="194" t="s">
        <v>1134</v>
      </c>
      <c r="E229" s="194" t="s">
        <v>1122</v>
      </c>
      <c r="F229" s="193" t="s">
        <v>1121</v>
      </c>
      <c r="G229" s="195" t="s">
        <v>1259</v>
      </c>
      <c r="H229" s="193" t="str">
        <f t="shared" si="3"/>
        <v>E374 Tray Feeding Conveyor Buffer Stopper Both Reedswitch Present</v>
      </c>
      <c r="I229" s="163"/>
    </row>
    <row r="230" spans="2:9">
      <c r="B230" s="74">
        <v>228</v>
      </c>
      <c r="C230" s="193" t="s">
        <v>1407</v>
      </c>
      <c r="D230" s="194" t="s">
        <v>1134</v>
      </c>
      <c r="E230" s="194" t="s">
        <v>1122</v>
      </c>
      <c r="F230" s="193" t="s">
        <v>1121</v>
      </c>
      <c r="G230" s="195" t="s">
        <v>1261</v>
      </c>
      <c r="H230" s="193" t="str">
        <f t="shared" si="3"/>
        <v>E375 Tray Feeding Conveyor Buffer Stopper Both Reedswitch Absent</v>
      </c>
      <c r="I230" s="163"/>
    </row>
    <row r="231" spans="2:9">
      <c r="B231" s="74">
        <v>229</v>
      </c>
      <c r="C231" s="193" t="s">
        <v>1408</v>
      </c>
      <c r="D231" s="194" t="s">
        <v>1134</v>
      </c>
      <c r="E231" s="194" t="s">
        <v>1122</v>
      </c>
      <c r="F231" s="193" t="s">
        <v>1121</v>
      </c>
      <c r="G231" s="193" t="s">
        <v>1288</v>
      </c>
      <c r="H231" s="193" t="str">
        <f>CONCATENATE(C231,D231,F231,D231,G231)</f>
        <v>E376 Tray Feeding Conveyor Buffer Stopper Up Reedswitch Absent</v>
      </c>
      <c r="I231" s="163"/>
    </row>
    <row r="232" spans="2:9">
      <c r="B232" s="74">
        <v>230</v>
      </c>
      <c r="C232" s="193" t="s">
        <v>1409</v>
      </c>
      <c r="D232" s="194" t="s">
        <v>1134</v>
      </c>
      <c r="E232" s="194" t="s">
        <v>1122</v>
      </c>
      <c r="F232" s="193" t="s">
        <v>1121</v>
      </c>
      <c r="G232" s="193" t="s">
        <v>1290</v>
      </c>
      <c r="H232" s="193" t="str">
        <f t="shared" si="3"/>
        <v>E377 Tray Feeding Conveyor Buffer Stopper Down Reedswitch Absent</v>
      </c>
      <c r="I232" s="163"/>
    </row>
    <row r="233" spans="2:9">
      <c r="B233" s="74">
        <v>231</v>
      </c>
      <c r="C233" s="193" t="s">
        <v>1410</v>
      </c>
      <c r="D233" s="194" t="s">
        <v>1134</v>
      </c>
      <c r="E233" s="194" t="s">
        <v>1123</v>
      </c>
      <c r="F233" s="193" t="s">
        <v>1678</v>
      </c>
      <c r="G233" s="195" t="s">
        <v>1383</v>
      </c>
      <c r="H233" s="193" t="str">
        <f>CONCATENATE(C233,D233,F233,D233,G233)</f>
        <v>E378 Bag Opening Bottom Vacuum Cup Vacuum On Feedback Absent</v>
      </c>
      <c r="I233" s="163"/>
    </row>
    <row r="234" spans="2:9">
      <c r="B234" s="74">
        <v>232</v>
      </c>
      <c r="C234" s="193" t="s">
        <v>1411</v>
      </c>
      <c r="D234" s="194" t="s">
        <v>1134</v>
      </c>
      <c r="E234" s="194" t="s">
        <v>1123</v>
      </c>
      <c r="F234" s="193" t="s">
        <v>1678</v>
      </c>
      <c r="G234" s="195" t="s">
        <v>1385</v>
      </c>
      <c r="H234" s="193" t="str">
        <f t="shared" si="3"/>
        <v>E379 Bag Opening Bottom Vacuum Cup Vacuum Off Feedback Absent</v>
      </c>
      <c r="I234" s="163"/>
    </row>
    <row r="235" spans="2:9">
      <c r="B235" s="74">
        <v>233</v>
      </c>
      <c r="C235" s="193" t="s">
        <v>1412</v>
      </c>
      <c r="D235" s="194" t="s">
        <v>1134</v>
      </c>
      <c r="E235" s="194"/>
      <c r="F235" s="193"/>
      <c r="G235" s="193"/>
      <c r="H235" s="193" t="str">
        <f t="shared" si="3"/>
        <v xml:space="preserve">E380  </v>
      </c>
      <c r="I235" s="163"/>
    </row>
    <row r="236" spans="2:9">
      <c r="B236" s="74">
        <v>234</v>
      </c>
      <c r="C236" s="193" t="s">
        <v>1413</v>
      </c>
      <c r="D236" s="194" t="s">
        <v>1134</v>
      </c>
      <c r="E236" s="194"/>
      <c r="F236" s="193"/>
      <c r="G236" s="193"/>
      <c r="H236" s="193" t="str">
        <f t="shared" si="3"/>
        <v xml:space="preserve">E381  </v>
      </c>
      <c r="I236" s="163"/>
    </row>
    <row r="237" spans="2:9">
      <c r="B237" s="74">
        <v>235</v>
      </c>
      <c r="C237" s="193" t="s">
        <v>1414</v>
      </c>
      <c r="D237" s="194" t="s">
        <v>1134</v>
      </c>
      <c r="E237" s="194"/>
      <c r="F237" s="193"/>
      <c r="G237" s="193"/>
      <c r="H237" s="193" t="str">
        <f t="shared" si="3"/>
        <v xml:space="preserve">E382  </v>
      </c>
      <c r="I237" s="163"/>
    </row>
    <row r="238" spans="2:9">
      <c r="B238" s="74">
        <v>236</v>
      </c>
      <c r="C238" s="193" t="s">
        <v>1415</v>
      </c>
      <c r="D238" s="194" t="s">
        <v>1134</v>
      </c>
      <c r="E238" s="194"/>
      <c r="F238" s="193"/>
      <c r="G238" s="193"/>
      <c r="H238" s="193" t="str">
        <f t="shared" si="3"/>
        <v xml:space="preserve">E383  </v>
      </c>
      <c r="I238" s="163"/>
    </row>
    <row r="239" spans="2:9">
      <c r="B239" s="74">
        <v>237</v>
      </c>
      <c r="C239" s="193" t="s">
        <v>1416</v>
      </c>
      <c r="D239" s="194" t="s">
        <v>1134</v>
      </c>
      <c r="E239" s="194"/>
      <c r="F239" s="193"/>
      <c r="G239" s="193"/>
      <c r="H239" s="193" t="str">
        <f t="shared" si="3"/>
        <v xml:space="preserve">E384  </v>
      </c>
      <c r="I239" s="163"/>
    </row>
    <row r="240" spans="2:9">
      <c r="B240" s="74">
        <v>238</v>
      </c>
      <c r="C240" s="193" t="s">
        <v>1417</v>
      </c>
      <c r="D240" s="194" t="s">
        <v>1134</v>
      </c>
      <c r="E240" s="194"/>
      <c r="F240" s="193"/>
      <c r="G240" s="193"/>
      <c r="H240" s="193" t="str">
        <f t="shared" si="3"/>
        <v xml:space="preserve">E385  </v>
      </c>
      <c r="I240" s="163"/>
    </row>
    <row r="241" spans="2:9">
      <c r="B241" s="74">
        <v>239</v>
      </c>
      <c r="C241" s="193" t="s">
        <v>1418</v>
      </c>
      <c r="D241" s="194" t="s">
        <v>1134</v>
      </c>
      <c r="E241" s="194"/>
      <c r="F241" s="193"/>
      <c r="G241" s="193"/>
      <c r="H241" s="193" t="str">
        <f t="shared" si="3"/>
        <v xml:space="preserve">E386  </v>
      </c>
      <c r="I241" s="163"/>
    </row>
    <row r="242" spans="2:9">
      <c r="B242" s="74">
        <v>240</v>
      </c>
      <c r="C242" s="193" t="s">
        <v>1419</v>
      </c>
      <c r="D242" s="194" t="s">
        <v>1134</v>
      </c>
      <c r="E242" s="194"/>
      <c r="F242" s="193"/>
      <c r="G242" s="193"/>
      <c r="H242" s="193" t="str">
        <f t="shared" si="3"/>
        <v xml:space="preserve">E387  </v>
      </c>
      <c r="I242" s="163"/>
    </row>
    <row r="243" spans="2:9">
      <c r="B243" s="74">
        <v>241</v>
      </c>
      <c r="C243" s="193" t="s">
        <v>1420</v>
      </c>
      <c r="D243" s="194" t="s">
        <v>1134</v>
      </c>
      <c r="E243" s="194"/>
      <c r="F243" s="193"/>
      <c r="G243" s="193"/>
      <c r="H243" s="193" t="str">
        <f t="shared" si="3"/>
        <v xml:space="preserve">E388  </v>
      </c>
      <c r="I243" s="163"/>
    </row>
    <row r="244" spans="2:9">
      <c r="B244" s="74">
        <v>242</v>
      </c>
      <c r="C244" s="193" t="s">
        <v>1421</v>
      </c>
      <c r="D244" s="194" t="s">
        <v>1134</v>
      </c>
      <c r="E244" s="194"/>
      <c r="F244" s="193"/>
      <c r="G244" s="193"/>
      <c r="H244" s="193" t="str">
        <f t="shared" si="3"/>
        <v xml:space="preserve">E389  </v>
      </c>
      <c r="I244" s="163"/>
    </row>
    <row r="245" spans="2:9">
      <c r="B245" s="74">
        <v>243</v>
      </c>
      <c r="C245" s="193" t="s">
        <v>1422</v>
      </c>
      <c r="D245" s="194" t="s">
        <v>1134</v>
      </c>
      <c r="E245" s="194"/>
      <c r="F245" s="193"/>
      <c r="G245" s="193"/>
      <c r="H245" s="193" t="str">
        <f t="shared" si="3"/>
        <v xml:space="preserve">E390  </v>
      </c>
      <c r="I245" s="163"/>
    </row>
    <row r="246" spans="2:9">
      <c r="B246" s="74">
        <v>244</v>
      </c>
      <c r="C246" s="193" t="s">
        <v>1423</v>
      </c>
      <c r="D246" s="194" t="s">
        <v>1134</v>
      </c>
      <c r="E246" s="194"/>
      <c r="F246" s="193"/>
      <c r="G246" s="193"/>
      <c r="H246" s="193" t="str">
        <f t="shared" si="3"/>
        <v xml:space="preserve">E391  </v>
      </c>
      <c r="I246" s="163"/>
    </row>
    <row r="247" spans="2:9">
      <c r="B247" s="74">
        <v>245</v>
      </c>
      <c r="C247" s="193" t="s">
        <v>1424</v>
      </c>
      <c r="D247" s="194" t="s">
        <v>1134</v>
      </c>
      <c r="E247" s="194"/>
      <c r="F247" s="193"/>
      <c r="G247" s="193"/>
      <c r="H247" s="193" t="str">
        <f t="shared" si="3"/>
        <v xml:space="preserve">E392  </v>
      </c>
      <c r="I247" s="163"/>
    </row>
    <row r="248" spans="2:9">
      <c r="B248" s="74">
        <v>246</v>
      </c>
      <c r="C248" s="193" t="s">
        <v>1425</v>
      </c>
      <c r="D248" s="194" t="s">
        <v>1134</v>
      </c>
      <c r="E248" s="194"/>
      <c r="F248" s="193"/>
      <c r="G248" s="193"/>
      <c r="H248" s="193" t="str">
        <f t="shared" si="3"/>
        <v xml:space="preserve">E393  </v>
      </c>
      <c r="I248" s="163"/>
    </row>
    <row r="249" spans="2:9">
      <c r="B249" s="74">
        <v>247</v>
      </c>
      <c r="C249" s="193" t="s">
        <v>1426</v>
      </c>
      <c r="D249" s="194" t="s">
        <v>1134</v>
      </c>
      <c r="E249" s="194"/>
      <c r="F249" s="193"/>
      <c r="G249" s="193"/>
      <c r="H249" s="193" t="str">
        <f t="shared" ref="H249:H312" si="4">CONCATENATE(C249,D249,F249,D249,G249)</f>
        <v xml:space="preserve">E394  </v>
      </c>
      <c r="I249" s="163"/>
    </row>
    <row r="250" spans="2:9">
      <c r="B250" s="74">
        <v>248</v>
      </c>
      <c r="C250" s="193" t="s">
        <v>1427</v>
      </c>
      <c r="D250" s="194" t="s">
        <v>1134</v>
      </c>
      <c r="E250" s="194"/>
      <c r="F250" s="193"/>
      <c r="G250" s="193"/>
      <c r="H250" s="193" t="str">
        <f t="shared" si="4"/>
        <v xml:space="preserve">E395  </v>
      </c>
      <c r="I250" s="163"/>
    </row>
    <row r="251" spans="2:9">
      <c r="B251" s="74">
        <v>249</v>
      </c>
      <c r="C251" s="193" t="s">
        <v>1428</v>
      </c>
      <c r="D251" s="194" t="s">
        <v>1134</v>
      </c>
      <c r="E251" s="194"/>
      <c r="F251" s="193"/>
      <c r="G251" s="193"/>
      <c r="H251" s="193" t="str">
        <f t="shared" si="4"/>
        <v xml:space="preserve">E396  </v>
      </c>
      <c r="I251" s="163"/>
    </row>
    <row r="252" spans="2:9">
      <c r="B252" s="74">
        <v>250</v>
      </c>
      <c r="C252" s="193" t="s">
        <v>1429</v>
      </c>
      <c r="D252" s="194" t="s">
        <v>1134</v>
      </c>
      <c r="E252" s="194"/>
      <c r="F252" s="193"/>
      <c r="G252" s="193"/>
      <c r="H252" s="193" t="str">
        <f t="shared" si="4"/>
        <v xml:space="preserve">E397  </v>
      </c>
      <c r="I252" s="163"/>
    </row>
    <row r="253" spans="2:9">
      <c r="B253" s="74">
        <v>251</v>
      </c>
      <c r="C253" s="193" t="s">
        <v>1430</v>
      </c>
      <c r="D253" s="194" t="s">
        <v>1134</v>
      </c>
      <c r="E253" s="194"/>
      <c r="F253" s="193"/>
      <c r="G253" s="193"/>
      <c r="H253" s="193" t="str">
        <f t="shared" si="4"/>
        <v xml:space="preserve">E398  </v>
      </c>
      <c r="I253" s="163"/>
    </row>
    <row r="254" spans="2:9">
      <c r="B254" s="74">
        <v>252</v>
      </c>
      <c r="C254" s="193" t="s">
        <v>1431</v>
      </c>
      <c r="D254" s="194" t="s">
        <v>1134</v>
      </c>
      <c r="E254" s="194"/>
      <c r="F254" s="193"/>
      <c r="G254" s="193"/>
      <c r="H254" s="193" t="str">
        <f t="shared" si="4"/>
        <v xml:space="preserve">E399  </v>
      </c>
      <c r="I254" s="163"/>
    </row>
    <row r="255" spans="2:9">
      <c r="B255" s="74">
        <v>253</v>
      </c>
      <c r="C255" s="193" t="s">
        <v>1432</v>
      </c>
      <c r="D255" s="194" t="s">
        <v>1134</v>
      </c>
      <c r="E255" s="194"/>
      <c r="F255" s="193"/>
      <c r="G255" s="193"/>
      <c r="H255" s="193" t="str">
        <f t="shared" si="4"/>
        <v xml:space="preserve">E400  </v>
      </c>
      <c r="I255" s="163"/>
    </row>
    <row r="256" spans="2:9">
      <c r="B256" s="74">
        <v>254</v>
      </c>
      <c r="C256" s="193" t="s">
        <v>1433</v>
      </c>
      <c r="D256" s="194" t="s">
        <v>1134</v>
      </c>
      <c r="E256" s="194"/>
      <c r="F256" s="193"/>
      <c r="G256" s="193"/>
      <c r="H256" s="193" t="str">
        <f t="shared" si="4"/>
        <v xml:space="preserve">E401  </v>
      </c>
      <c r="I256" s="163"/>
    </row>
    <row r="257" spans="2:9">
      <c r="B257" s="74">
        <v>255</v>
      </c>
      <c r="C257" s="193" t="s">
        <v>1434</v>
      </c>
      <c r="D257" s="194" t="s">
        <v>1134</v>
      </c>
      <c r="E257" s="194"/>
      <c r="F257" s="193"/>
      <c r="G257" s="193"/>
      <c r="H257" s="193" t="str">
        <f t="shared" si="4"/>
        <v xml:space="preserve">E402  </v>
      </c>
      <c r="I257" s="163"/>
    </row>
    <row r="258" spans="2:9">
      <c r="B258" s="74">
        <v>256</v>
      </c>
      <c r="C258" s="193" t="s">
        <v>1435</v>
      </c>
      <c r="D258" s="194" t="s">
        <v>1134</v>
      </c>
      <c r="E258" s="194"/>
      <c r="F258" s="193"/>
      <c r="G258" s="193"/>
      <c r="H258" s="193" t="str">
        <f t="shared" si="4"/>
        <v xml:space="preserve">E403  </v>
      </c>
      <c r="I258" s="163"/>
    </row>
    <row r="259" spans="2:9">
      <c r="B259" s="74">
        <v>257</v>
      </c>
      <c r="C259" s="193" t="s">
        <v>1436</v>
      </c>
      <c r="D259" s="194" t="s">
        <v>1134</v>
      </c>
      <c r="E259" s="194"/>
      <c r="F259" s="193"/>
      <c r="G259" s="193"/>
      <c r="H259" s="193" t="str">
        <f t="shared" si="4"/>
        <v xml:space="preserve">E404  </v>
      </c>
      <c r="I259" s="163"/>
    </row>
    <row r="260" spans="2:9">
      <c r="B260" s="74">
        <v>258</v>
      </c>
      <c r="C260" s="193" t="s">
        <v>1437</v>
      </c>
      <c r="D260" s="194" t="s">
        <v>1134</v>
      </c>
      <c r="E260" s="194"/>
      <c r="F260" s="193"/>
      <c r="G260" s="193"/>
      <c r="H260" s="193" t="str">
        <f t="shared" si="4"/>
        <v xml:space="preserve">E405  </v>
      </c>
      <c r="I260" s="163"/>
    </row>
    <row r="261" spans="2:9">
      <c r="B261" s="74">
        <v>259</v>
      </c>
      <c r="C261" s="193" t="s">
        <v>1438</v>
      </c>
      <c r="D261" s="194" t="s">
        <v>1134</v>
      </c>
      <c r="E261" s="194"/>
      <c r="F261" s="193"/>
      <c r="G261" s="193"/>
      <c r="H261" s="193" t="str">
        <f t="shared" si="4"/>
        <v xml:space="preserve">E406  </v>
      </c>
      <c r="I261" s="163"/>
    </row>
    <row r="262" spans="2:9">
      <c r="B262" s="74">
        <v>260</v>
      </c>
      <c r="C262" s="193" t="s">
        <v>1439</v>
      </c>
      <c r="D262" s="194" t="s">
        <v>1134</v>
      </c>
      <c r="E262" s="194"/>
      <c r="F262" s="193"/>
      <c r="G262" s="193"/>
      <c r="H262" s="193" t="str">
        <f t="shared" si="4"/>
        <v xml:space="preserve">E407  </v>
      </c>
      <c r="I262" s="163"/>
    </row>
    <row r="263" spans="2:9">
      <c r="B263" s="74">
        <v>261</v>
      </c>
      <c r="C263" s="193" t="s">
        <v>1440</v>
      </c>
      <c r="D263" s="194" t="s">
        <v>1134</v>
      </c>
      <c r="E263" s="194"/>
      <c r="F263" s="193"/>
      <c r="G263" s="193"/>
      <c r="H263" s="193" t="str">
        <f t="shared" si="4"/>
        <v xml:space="preserve">E408  </v>
      </c>
      <c r="I263" s="163"/>
    </row>
    <row r="264" spans="2:9">
      <c r="B264" s="74">
        <v>262</v>
      </c>
      <c r="C264" s="193" t="s">
        <v>1441</v>
      </c>
      <c r="D264" s="194" t="s">
        <v>1134</v>
      </c>
      <c r="E264" s="194"/>
      <c r="F264" s="193"/>
      <c r="G264" s="193"/>
      <c r="H264" s="193" t="str">
        <f t="shared" si="4"/>
        <v xml:space="preserve">E409  </v>
      </c>
      <c r="I264" s="163"/>
    </row>
    <row r="265" spans="2:9">
      <c r="B265" s="74">
        <v>263</v>
      </c>
      <c r="C265" s="193" t="s">
        <v>1442</v>
      </c>
      <c r="D265" s="194" t="s">
        <v>1134</v>
      </c>
      <c r="E265" s="194"/>
      <c r="F265" s="193"/>
      <c r="G265" s="193"/>
      <c r="H265" s="193" t="str">
        <f t="shared" si="4"/>
        <v xml:space="preserve">E410  </v>
      </c>
      <c r="I265" s="163"/>
    </row>
    <row r="266" spans="2:9">
      <c r="B266" s="74">
        <v>264</v>
      </c>
      <c r="C266" s="193" t="s">
        <v>1443</v>
      </c>
      <c r="D266" s="194" t="s">
        <v>1134</v>
      </c>
      <c r="E266" s="194"/>
      <c r="F266" s="193"/>
      <c r="G266" s="193"/>
      <c r="H266" s="193" t="str">
        <f t="shared" si="4"/>
        <v xml:space="preserve">E411  </v>
      </c>
      <c r="I266" s="163"/>
    </row>
    <row r="267" spans="2:9">
      <c r="B267" s="74">
        <v>265</v>
      </c>
      <c r="C267" s="193" t="s">
        <v>1444</v>
      </c>
      <c r="D267" s="194" t="s">
        <v>1134</v>
      </c>
      <c r="E267" s="194"/>
      <c r="F267" s="193"/>
      <c r="G267" s="193"/>
      <c r="H267" s="193" t="str">
        <f t="shared" si="4"/>
        <v xml:space="preserve">E412  </v>
      </c>
      <c r="I267" s="163"/>
    </row>
    <row r="268" spans="2:9">
      <c r="B268" s="74">
        <v>266</v>
      </c>
      <c r="C268" s="193" t="s">
        <v>1445</v>
      </c>
      <c r="D268" s="194" t="s">
        <v>1134</v>
      </c>
      <c r="E268" s="194"/>
      <c r="F268" s="193"/>
      <c r="G268" s="196"/>
      <c r="H268" s="193" t="str">
        <f t="shared" si="4"/>
        <v xml:space="preserve">E413  </v>
      </c>
      <c r="I268" s="163"/>
    </row>
    <row r="269" spans="2:9">
      <c r="B269" s="74">
        <v>267</v>
      </c>
      <c r="C269" s="193" t="s">
        <v>1446</v>
      </c>
      <c r="D269" s="194" t="s">
        <v>1134</v>
      </c>
      <c r="E269" s="194"/>
      <c r="F269" s="193"/>
      <c r="G269" s="196"/>
      <c r="H269" s="193" t="str">
        <f t="shared" si="4"/>
        <v xml:space="preserve">E414  </v>
      </c>
      <c r="I269" s="163"/>
    </row>
    <row r="270" spans="2:9">
      <c r="B270" s="74">
        <v>268</v>
      </c>
      <c r="C270" s="193" t="s">
        <v>1447</v>
      </c>
      <c r="D270" s="194" t="s">
        <v>1134</v>
      </c>
      <c r="E270" s="194"/>
      <c r="F270" s="193"/>
      <c r="G270" s="196"/>
      <c r="H270" s="193" t="str">
        <f t="shared" si="4"/>
        <v xml:space="preserve">E415  </v>
      </c>
      <c r="I270" s="163"/>
    </row>
    <row r="271" spans="2:9">
      <c r="B271" s="74">
        <v>269</v>
      </c>
      <c r="C271" s="193" t="s">
        <v>1448</v>
      </c>
      <c r="D271" s="194" t="s">
        <v>1134</v>
      </c>
      <c r="E271" s="194"/>
      <c r="F271" s="193"/>
      <c r="G271" s="196"/>
      <c r="H271" s="193" t="str">
        <f t="shared" si="4"/>
        <v xml:space="preserve">E416  </v>
      </c>
      <c r="I271" s="163"/>
    </row>
    <row r="272" spans="2:9">
      <c r="B272" s="74">
        <v>270</v>
      </c>
      <c r="C272" s="193" t="s">
        <v>1449</v>
      </c>
      <c r="D272" s="194" t="s">
        <v>1134</v>
      </c>
      <c r="E272" s="194"/>
      <c r="F272" s="193"/>
      <c r="G272" s="196"/>
      <c r="H272" s="193" t="str">
        <f t="shared" si="4"/>
        <v xml:space="preserve">E417  </v>
      </c>
      <c r="I272" s="163"/>
    </row>
    <row r="273" spans="2:9">
      <c r="B273" s="74">
        <v>271</v>
      </c>
      <c r="C273" s="193" t="s">
        <v>1450</v>
      </c>
      <c r="D273" s="194" t="s">
        <v>1134</v>
      </c>
      <c r="E273" s="194"/>
      <c r="F273" s="193"/>
      <c r="G273" s="196"/>
      <c r="H273" s="193" t="str">
        <f t="shared" si="4"/>
        <v xml:space="preserve">E418  </v>
      </c>
      <c r="I273" s="163"/>
    </row>
    <row r="274" spans="2:9">
      <c r="B274" s="74">
        <v>272</v>
      </c>
      <c r="C274" s="193" t="s">
        <v>1451</v>
      </c>
      <c r="D274" s="194" t="s">
        <v>1134</v>
      </c>
      <c r="E274" s="194"/>
      <c r="F274" s="193"/>
      <c r="G274" s="196"/>
      <c r="H274" s="193" t="str">
        <f t="shared" si="4"/>
        <v xml:space="preserve">E419  </v>
      </c>
      <c r="I274" s="163"/>
    </row>
    <row r="275" spans="2:9">
      <c r="B275" s="74">
        <v>273</v>
      </c>
      <c r="C275" s="193" t="s">
        <v>1452</v>
      </c>
      <c r="D275" s="194" t="s">
        <v>1134</v>
      </c>
      <c r="E275" s="194"/>
      <c r="F275" s="193"/>
      <c r="G275" s="196"/>
      <c r="H275" s="193" t="str">
        <f t="shared" si="4"/>
        <v xml:space="preserve">E420  </v>
      </c>
      <c r="I275" s="163"/>
    </row>
    <row r="276" spans="2:9">
      <c r="B276" s="74">
        <v>274</v>
      </c>
      <c r="C276" s="193" t="s">
        <v>1453</v>
      </c>
      <c r="D276" s="194" t="s">
        <v>1134</v>
      </c>
      <c r="E276" s="194"/>
      <c r="F276" s="193"/>
      <c r="G276" s="196"/>
      <c r="H276" s="193" t="str">
        <f t="shared" si="4"/>
        <v xml:space="preserve">E421  </v>
      </c>
      <c r="I276" s="163"/>
    </row>
    <row r="277" spans="2:9">
      <c r="B277" s="74">
        <v>275</v>
      </c>
      <c r="C277" s="193" t="s">
        <v>1454</v>
      </c>
      <c r="D277" s="194" t="s">
        <v>1134</v>
      </c>
      <c r="E277" s="194"/>
      <c r="F277" s="193"/>
      <c r="G277" s="196"/>
      <c r="H277" s="193" t="str">
        <f t="shared" si="4"/>
        <v xml:space="preserve">E422  </v>
      </c>
      <c r="I277" s="163"/>
    </row>
    <row r="278" spans="2:9">
      <c r="B278" s="74">
        <v>276</v>
      </c>
      <c r="C278" s="193" t="s">
        <v>1455</v>
      </c>
      <c r="D278" s="194" t="s">
        <v>1134</v>
      </c>
      <c r="E278" s="194"/>
      <c r="F278" s="193"/>
      <c r="G278" s="196"/>
      <c r="H278" s="193" t="str">
        <f t="shared" si="4"/>
        <v xml:space="preserve">E423  </v>
      </c>
      <c r="I278" s="163"/>
    </row>
    <row r="279" spans="2:9">
      <c r="B279" s="74">
        <v>277</v>
      </c>
      <c r="C279" s="193" t="s">
        <v>1456</v>
      </c>
      <c r="D279" s="194" t="s">
        <v>1134</v>
      </c>
      <c r="E279" s="194"/>
      <c r="F279" s="193"/>
      <c r="G279" s="196"/>
      <c r="H279" s="193" t="str">
        <f t="shared" si="4"/>
        <v xml:space="preserve">E424  </v>
      </c>
      <c r="I279" s="163"/>
    </row>
    <row r="280" spans="2:9">
      <c r="B280" s="74">
        <v>278</v>
      </c>
      <c r="C280" s="193" t="s">
        <v>1457</v>
      </c>
      <c r="D280" s="194" t="s">
        <v>1134</v>
      </c>
      <c r="E280" s="194"/>
      <c r="F280" s="193"/>
      <c r="G280" s="196"/>
      <c r="H280" s="193" t="str">
        <f t="shared" si="4"/>
        <v xml:space="preserve">E425  </v>
      </c>
      <c r="I280" s="163"/>
    </row>
    <row r="281" spans="2:9">
      <c r="B281" s="74">
        <v>279</v>
      </c>
      <c r="C281" s="193" t="s">
        <v>1458</v>
      </c>
      <c r="D281" s="194" t="s">
        <v>1134</v>
      </c>
      <c r="E281" s="194"/>
      <c r="F281" s="193"/>
      <c r="G281" s="196"/>
      <c r="H281" s="193" t="str">
        <f t="shared" si="4"/>
        <v xml:space="preserve">E426  </v>
      </c>
      <c r="I281" s="163"/>
    </row>
    <row r="282" spans="2:9">
      <c r="B282" s="74">
        <v>280</v>
      </c>
      <c r="C282" s="193" t="s">
        <v>1459</v>
      </c>
      <c r="D282" s="194" t="s">
        <v>1134</v>
      </c>
      <c r="E282" s="194"/>
      <c r="F282" s="193"/>
      <c r="G282" s="196"/>
      <c r="H282" s="193" t="str">
        <f t="shared" si="4"/>
        <v xml:space="preserve">E427  </v>
      </c>
      <c r="I282" s="163"/>
    </row>
    <row r="283" spans="2:9">
      <c r="B283" s="74">
        <v>281</v>
      </c>
      <c r="C283" s="193" t="s">
        <v>1460</v>
      </c>
      <c r="D283" s="194" t="s">
        <v>1134</v>
      </c>
      <c r="E283" s="194"/>
      <c r="F283" s="193"/>
      <c r="G283" s="196"/>
      <c r="H283" s="193" t="str">
        <f t="shared" si="4"/>
        <v xml:space="preserve">E428  </v>
      </c>
      <c r="I283" s="163"/>
    </row>
    <row r="284" spans="2:9">
      <c r="B284" s="74">
        <v>282</v>
      </c>
      <c r="C284" s="193" t="s">
        <v>1461</v>
      </c>
      <c r="D284" s="194" t="s">
        <v>1134</v>
      </c>
      <c r="E284" s="194"/>
      <c r="F284" s="193"/>
      <c r="G284" s="196"/>
      <c r="H284" s="193" t="str">
        <f t="shared" si="4"/>
        <v xml:space="preserve">E429  </v>
      </c>
      <c r="I284" s="163"/>
    </row>
    <row r="285" spans="2:9">
      <c r="B285" s="74">
        <v>283</v>
      </c>
      <c r="C285" s="193" t="s">
        <v>1462</v>
      </c>
      <c r="D285" s="194" t="s">
        <v>1134</v>
      </c>
      <c r="E285" s="194"/>
      <c r="F285" s="193"/>
      <c r="G285" s="196"/>
      <c r="H285" s="193" t="str">
        <f t="shared" si="4"/>
        <v xml:space="preserve">E430  </v>
      </c>
      <c r="I285" s="163"/>
    </row>
    <row r="286" spans="2:9">
      <c r="B286" s="74">
        <v>284</v>
      </c>
      <c r="C286" s="193" t="s">
        <v>1463</v>
      </c>
      <c r="D286" s="194" t="s">
        <v>1134</v>
      </c>
      <c r="E286" s="194"/>
      <c r="F286" s="193"/>
      <c r="G286" s="196"/>
      <c r="H286" s="193" t="str">
        <f t="shared" si="4"/>
        <v xml:space="preserve">E431  </v>
      </c>
      <c r="I286" s="163"/>
    </row>
    <row r="287" spans="2:9">
      <c r="B287" s="74">
        <v>285</v>
      </c>
      <c r="C287" s="193" t="s">
        <v>1464</v>
      </c>
      <c r="D287" s="194" t="s">
        <v>1134</v>
      </c>
      <c r="E287" s="194"/>
      <c r="F287" s="193"/>
      <c r="G287" s="196"/>
      <c r="H287" s="193" t="str">
        <f t="shared" si="4"/>
        <v xml:space="preserve">E432  </v>
      </c>
      <c r="I287" s="163"/>
    </row>
    <row r="288" spans="2:9">
      <c r="B288" s="74">
        <v>286</v>
      </c>
      <c r="C288" s="193" t="s">
        <v>1465</v>
      </c>
      <c r="D288" s="194" t="s">
        <v>1134</v>
      </c>
      <c r="E288" s="194"/>
      <c r="F288" s="193"/>
      <c r="G288" s="196"/>
      <c r="H288" s="193" t="str">
        <f t="shared" si="4"/>
        <v xml:space="preserve">E433  </v>
      </c>
      <c r="I288" s="163"/>
    </row>
    <row r="289" spans="2:9">
      <c r="B289" s="74">
        <v>287</v>
      </c>
      <c r="C289" s="193" t="s">
        <v>1466</v>
      </c>
      <c r="D289" s="194" t="s">
        <v>1134</v>
      </c>
      <c r="E289" s="194"/>
      <c r="F289" s="193"/>
      <c r="G289" s="196"/>
      <c r="H289" s="193" t="str">
        <f t="shared" si="4"/>
        <v xml:space="preserve">E434  </v>
      </c>
      <c r="I289" s="163"/>
    </row>
    <row r="290" spans="2:9">
      <c r="B290" s="74">
        <v>288</v>
      </c>
      <c r="C290" s="193" t="s">
        <v>1467</v>
      </c>
      <c r="D290" s="194" t="s">
        <v>1134</v>
      </c>
      <c r="E290" s="194"/>
      <c r="F290" s="193"/>
      <c r="G290" s="196"/>
      <c r="H290" s="193" t="str">
        <f t="shared" si="4"/>
        <v xml:space="preserve">E435  </v>
      </c>
      <c r="I290" s="163"/>
    </row>
    <row r="291" spans="2:9">
      <c r="B291" s="74">
        <v>289</v>
      </c>
      <c r="C291" s="193" t="s">
        <v>1468</v>
      </c>
      <c r="D291" s="194" t="s">
        <v>1134</v>
      </c>
      <c r="E291" s="194"/>
      <c r="F291" s="193"/>
      <c r="G291" s="196"/>
      <c r="H291" s="193" t="str">
        <f t="shared" si="4"/>
        <v xml:space="preserve">E436  </v>
      </c>
      <c r="I291" s="163"/>
    </row>
    <row r="292" spans="2:9">
      <c r="B292" s="74">
        <v>290</v>
      </c>
      <c r="C292" s="193" t="s">
        <v>1469</v>
      </c>
      <c r="D292" s="194" t="s">
        <v>1134</v>
      </c>
      <c r="E292" s="194"/>
      <c r="F292" s="193"/>
      <c r="G292" s="196"/>
      <c r="H292" s="193" t="str">
        <f t="shared" si="4"/>
        <v xml:space="preserve">E437  </v>
      </c>
      <c r="I292" s="163"/>
    </row>
    <row r="293" spans="2:9">
      <c r="B293" s="74">
        <v>291</v>
      </c>
      <c r="C293" s="193" t="s">
        <v>1470</v>
      </c>
      <c r="D293" s="194" t="s">
        <v>1134</v>
      </c>
      <c r="E293" s="194"/>
      <c r="F293" s="193"/>
      <c r="G293" s="196"/>
      <c r="H293" s="193" t="str">
        <f t="shared" si="4"/>
        <v xml:space="preserve">E438  </v>
      </c>
      <c r="I293" s="163"/>
    </row>
    <row r="294" spans="2:9">
      <c r="B294" s="74">
        <v>292</v>
      </c>
      <c r="C294" s="193" t="s">
        <v>1471</v>
      </c>
      <c r="D294" s="194" t="s">
        <v>1134</v>
      </c>
      <c r="E294" s="194"/>
      <c r="F294" s="193"/>
      <c r="G294" s="196"/>
      <c r="H294" s="193" t="str">
        <f t="shared" si="4"/>
        <v xml:space="preserve">E439  </v>
      </c>
      <c r="I294" s="163"/>
    </row>
    <row r="295" spans="2:9">
      <c r="B295" s="74">
        <v>293</v>
      </c>
      <c r="C295" s="193" t="s">
        <v>1472</v>
      </c>
      <c r="D295" s="194" t="s">
        <v>1134</v>
      </c>
      <c r="E295" s="194"/>
      <c r="F295" s="193"/>
      <c r="G295" s="196"/>
      <c r="H295" s="193" t="str">
        <f t="shared" si="4"/>
        <v xml:space="preserve">E440  </v>
      </c>
      <c r="I295" s="163"/>
    </row>
    <row r="296" spans="2:9">
      <c r="B296" s="74">
        <v>294</v>
      </c>
      <c r="C296" s="193" t="s">
        <v>1473</v>
      </c>
      <c r="D296" s="194" t="s">
        <v>1134</v>
      </c>
      <c r="E296" s="194"/>
      <c r="F296" s="193"/>
      <c r="G296" s="196"/>
      <c r="H296" s="193" t="str">
        <f t="shared" si="4"/>
        <v xml:space="preserve">E441  </v>
      </c>
      <c r="I296" s="163"/>
    </row>
    <row r="297" spans="2:9">
      <c r="B297" s="74">
        <v>295</v>
      </c>
      <c r="C297" s="193" t="s">
        <v>1474</v>
      </c>
      <c r="D297" s="194" t="s">
        <v>1134</v>
      </c>
      <c r="E297" s="194"/>
      <c r="F297" s="193"/>
      <c r="G297" s="196"/>
      <c r="H297" s="193" t="str">
        <f t="shared" si="4"/>
        <v xml:space="preserve">E442  </v>
      </c>
      <c r="I297" s="163"/>
    </row>
    <row r="298" spans="2:9">
      <c r="B298" s="74">
        <v>296</v>
      </c>
      <c r="C298" s="193" t="s">
        <v>1475</v>
      </c>
      <c r="D298" s="194" t="s">
        <v>1134</v>
      </c>
      <c r="E298" s="194"/>
      <c r="F298" s="193"/>
      <c r="G298" s="196"/>
      <c r="H298" s="193" t="str">
        <f t="shared" si="4"/>
        <v xml:space="preserve">E443  </v>
      </c>
      <c r="I298" s="163"/>
    </row>
    <row r="299" spans="2:9">
      <c r="B299" s="74">
        <v>297</v>
      </c>
      <c r="C299" s="193" t="s">
        <v>1476</v>
      </c>
      <c r="D299" s="194" t="s">
        <v>1134</v>
      </c>
      <c r="E299" s="194"/>
      <c r="F299" s="193"/>
      <c r="G299" s="196"/>
      <c r="H299" s="193" t="str">
        <f t="shared" si="4"/>
        <v xml:space="preserve">E444  </v>
      </c>
      <c r="I299" s="163"/>
    </row>
    <row r="300" spans="2:9">
      <c r="B300" s="74">
        <v>298</v>
      </c>
      <c r="C300" s="193" t="s">
        <v>1477</v>
      </c>
      <c r="D300" s="194" t="s">
        <v>1134</v>
      </c>
      <c r="E300" s="194"/>
      <c r="F300" s="193"/>
      <c r="G300" s="196"/>
      <c r="H300" s="193" t="str">
        <f t="shared" si="4"/>
        <v xml:space="preserve">E445  </v>
      </c>
      <c r="I300" s="163"/>
    </row>
    <row r="301" spans="2:9">
      <c r="B301" s="74">
        <v>299</v>
      </c>
      <c r="C301" s="193" t="s">
        <v>1478</v>
      </c>
      <c r="D301" s="194" t="s">
        <v>1134</v>
      </c>
      <c r="E301" s="194"/>
      <c r="F301" s="193"/>
      <c r="G301" s="196"/>
      <c r="H301" s="193" t="str">
        <f t="shared" si="4"/>
        <v xml:space="preserve">E446  </v>
      </c>
      <c r="I301" s="163"/>
    </row>
    <row r="302" spans="2:9">
      <c r="B302" s="74">
        <v>300</v>
      </c>
      <c r="C302" s="193" t="s">
        <v>1479</v>
      </c>
      <c r="D302" s="194" t="s">
        <v>1134</v>
      </c>
      <c r="E302" s="194"/>
      <c r="F302" s="193"/>
      <c r="G302" s="196"/>
      <c r="H302" s="193" t="str">
        <f t="shared" si="4"/>
        <v xml:space="preserve">E447  </v>
      </c>
      <c r="I302" s="163"/>
    </row>
    <row r="303" spans="2:9">
      <c r="B303" s="74">
        <v>301</v>
      </c>
      <c r="C303" s="193" t="s">
        <v>1480</v>
      </c>
      <c r="D303" s="194" t="s">
        <v>1134</v>
      </c>
      <c r="E303" s="194"/>
      <c r="F303" s="193"/>
      <c r="G303" s="196"/>
      <c r="H303" s="193" t="str">
        <f t="shared" si="4"/>
        <v xml:space="preserve">E448  </v>
      </c>
      <c r="I303" s="163"/>
    </row>
    <row r="304" spans="2:9">
      <c r="B304" s="74">
        <v>302</v>
      </c>
      <c r="C304" s="193" t="s">
        <v>1481</v>
      </c>
      <c r="D304" s="194" t="s">
        <v>1134</v>
      </c>
      <c r="E304" s="194"/>
      <c r="F304" s="193"/>
      <c r="G304" s="196"/>
      <c r="H304" s="193" t="str">
        <f t="shared" si="4"/>
        <v xml:space="preserve">E449  </v>
      </c>
      <c r="I304" s="163"/>
    </row>
    <row r="305" spans="2:9">
      <c r="B305" s="74">
        <v>303</v>
      </c>
      <c r="C305" s="193" t="s">
        <v>1482</v>
      </c>
      <c r="D305" s="194" t="s">
        <v>1134</v>
      </c>
      <c r="E305" s="194"/>
      <c r="F305" s="193"/>
      <c r="G305" s="196"/>
      <c r="H305" s="193" t="str">
        <f t="shared" si="4"/>
        <v xml:space="preserve">E450  </v>
      </c>
      <c r="I305" s="163"/>
    </row>
    <row r="306" spans="2:9">
      <c r="B306" s="74">
        <v>304</v>
      </c>
      <c r="C306" s="193" t="s">
        <v>1483</v>
      </c>
      <c r="D306" s="194" t="s">
        <v>1134</v>
      </c>
      <c r="E306" s="194"/>
      <c r="F306" s="193"/>
      <c r="G306" s="196"/>
      <c r="H306" s="193" t="str">
        <f t="shared" si="4"/>
        <v xml:space="preserve">E451  </v>
      </c>
      <c r="I306" s="163"/>
    </row>
    <row r="307" spans="2:9">
      <c r="B307" s="74">
        <v>305</v>
      </c>
      <c r="C307" s="193" t="s">
        <v>1484</v>
      </c>
      <c r="D307" s="194" t="s">
        <v>1134</v>
      </c>
      <c r="E307" s="194"/>
      <c r="F307" s="193"/>
      <c r="G307" s="196"/>
      <c r="H307" s="193" t="str">
        <f t="shared" si="4"/>
        <v xml:space="preserve">E452  </v>
      </c>
      <c r="I307" s="163"/>
    </row>
    <row r="308" spans="2:9">
      <c r="B308" s="74">
        <v>306</v>
      </c>
      <c r="C308" s="193" t="s">
        <v>1485</v>
      </c>
      <c r="D308" s="194" t="s">
        <v>1134</v>
      </c>
      <c r="E308" s="194"/>
      <c r="F308" s="193"/>
      <c r="G308" s="196"/>
      <c r="H308" s="193" t="str">
        <f t="shared" si="4"/>
        <v xml:space="preserve">E453  </v>
      </c>
      <c r="I308" s="163"/>
    </row>
    <row r="309" spans="2:9">
      <c r="B309" s="74">
        <v>307</v>
      </c>
      <c r="C309" s="193" t="s">
        <v>1486</v>
      </c>
      <c r="D309" s="194" t="s">
        <v>1134</v>
      </c>
      <c r="E309" s="194"/>
      <c r="F309" s="193"/>
      <c r="G309" s="196"/>
      <c r="H309" s="193" t="str">
        <f t="shared" si="4"/>
        <v xml:space="preserve">E454  </v>
      </c>
      <c r="I309" s="163"/>
    </row>
    <row r="310" spans="2:9">
      <c r="B310" s="74">
        <v>308</v>
      </c>
      <c r="C310" s="193" t="s">
        <v>1487</v>
      </c>
      <c r="D310" s="194" t="s">
        <v>1134</v>
      </c>
      <c r="E310" s="194"/>
      <c r="F310" s="193"/>
      <c r="G310" s="196"/>
      <c r="H310" s="193" t="str">
        <f t="shared" si="4"/>
        <v xml:space="preserve">E455  </v>
      </c>
      <c r="I310" s="163"/>
    </row>
    <row r="311" spans="2:9">
      <c r="B311" s="74">
        <v>309</v>
      </c>
      <c r="C311" s="193" t="s">
        <v>1488</v>
      </c>
      <c r="D311" s="194" t="s">
        <v>1134</v>
      </c>
      <c r="E311" s="194"/>
      <c r="F311" s="193"/>
      <c r="G311" s="196"/>
      <c r="H311" s="193" t="str">
        <f t="shared" si="4"/>
        <v xml:space="preserve">E456  </v>
      </c>
      <c r="I311" s="163"/>
    </row>
    <row r="312" spans="2:9">
      <c r="B312" s="74">
        <v>310</v>
      </c>
      <c r="C312" s="193" t="s">
        <v>1489</v>
      </c>
      <c r="D312" s="194" t="s">
        <v>1134</v>
      </c>
      <c r="E312" s="194"/>
      <c r="F312" s="193"/>
      <c r="G312" s="196"/>
      <c r="H312" s="193" t="str">
        <f t="shared" si="4"/>
        <v xml:space="preserve">E457  </v>
      </c>
      <c r="I312" s="163"/>
    </row>
    <row r="313" spans="2:9">
      <c r="B313" s="74">
        <v>311</v>
      </c>
      <c r="C313" s="193" t="s">
        <v>1490</v>
      </c>
      <c r="D313" s="194" t="s">
        <v>1134</v>
      </c>
      <c r="E313" s="194"/>
      <c r="F313" s="193"/>
      <c r="G313" s="196"/>
      <c r="H313" s="193" t="str">
        <f t="shared" ref="H313:H376" si="5">CONCATENATE(C313,D313,F313,D313,G313)</f>
        <v xml:space="preserve">E458  </v>
      </c>
      <c r="I313" s="163"/>
    </row>
    <row r="314" spans="2:9">
      <c r="B314" s="74">
        <v>312</v>
      </c>
      <c r="C314" s="193" t="s">
        <v>1491</v>
      </c>
      <c r="D314" s="194" t="s">
        <v>1134</v>
      </c>
      <c r="E314" s="194"/>
      <c r="F314" s="193"/>
      <c r="G314" s="196"/>
      <c r="H314" s="193" t="str">
        <f t="shared" si="5"/>
        <v xml:space="preserve">E459  </v>
      </c>
      <c r="I314" s="163"/>
    </row>
    <row r="315" spans="2:9">
      <c r="B315" s="74">
        <v>313</v>
      </c>
      <c r="C315" s="193" t="s">
        <v>1492</v>
      </c>
      <c r="D315" s="194" t="s">
        <v>1134</v>
      </c>
      <c r="E315" s="194"/>
      <c r="F315" s="193"/>
      <c r="G315" s="196"/>
      <c r="H315" s="193" t="str">
        <f t="shared" si="5"/>
        <v xml:space="preserve">E460  </v>
      </c>
      <c r="I315" s="163"/>
    </row>
    <row r="316" spans="2:9">
      <c r="B316" s="74">
        <v>314</v>
      </c>
      <c r="C316" s="193" t="s">
        <v>1493</v>
      </c>
      <c r="D316" s="194" t="s">
        <v>1134</v>
      </c>
      <c r="E316" s="194"/>
      <c r="F316" s="193"/>
      <c r="G316" s="196"/>
      <c r="H316" s="193" t="str">
        <f t="shared" si="5"/>
        <v xml:space="preserve">E461  </v>
      </c>
      <c r="I316" s="163"/>
    </row>
    <row r="317" spans="2:9">
      <c r="B317" s="74">
        <v>315</v>
      </c>
      <c r="C317" s="193" t="s">
        <v>1494</v>
      </c>
      <c r="D317" s="194" t="s">
        <v>1134</v>
      </c>
      <c r="E317" s="194"/>
      <c r="F317" s="193"/>
      <c r="G317" s="196"/>
      <c r="H317" s="193" t="str">
        <f t="shared" si="5"/>
        <v xml:space="preserve">E462  </v>
      </c>
      <c r="I317" s="163"/>
    </row>
    <row r="318" spans="2:9">
      <c r="B318" s="74">
        <v>316</v>
      </c>
      <c r="C318" s="193" t="s">
        <v>1495</v>
      </c>
      <c r="D318" s="194" t="s">
        <v>1134</v>
      </c>
      <c r="E318" s="194"/>
      <c r="F318" s="193"/>
      <c r="G318" s="196"/>
      <c r="H318" s="193" t="str">
        <f t="shared" si="5"/>
        <v xml:space="preserve">E463  </v>
      </c>
      <c r="I318" s="163"/>
    </row>
    <row r="319" spans="2:9">
      <c r="B319" s="74">
        <v>317</v>
      </c>
      <c r="C319" s="193" t="s">
        <v>1496</v>
      </c>
      <c r="D319" s="194" t="s">
        <v>1134</v>
      </c>
      <c r="E319" s="194"/>
      <c r="F319" s="193"/>
      <c r="G319" s="196"/>
      <c r="H319" s="193" t="str">
        <f t="shared" si="5"/>
        <v xml:space="preserve">E464  </v>
      </c>
      <c r="I319" s="163"/>
    </row>
    <row r="320" spans="2:9">
      <c r="B320" s="74">
        <v>318</v>
      </c>
      <c r="C320" s="193" t="s">
        <v>1497</v>
      </c>
      <c r="D320" s="194" t="s">
        <v>1134</v>
      </c>
      <c r="E320" s="194"/>
      <c r="F320" s="193"/>
      <c r="G320" s="196"/>
      <c r="H320" s="193" t="str">
        <f t="shared" si="5"/>
        <v xml:space="preserve">E465  </v>
      </c>
      <c r="I320" s="163"/>
    </row>
    <row r="321" spans="2:9">
      <c r="B321" s="74">
        <v>319</v>
      </c>
      <c r="C321" s="193" t="s">
        <v>1498</v>
      </c>
      <c r="D321" s="194" t="s">
        <v>1134</v>
      </c>
      <c r="E321" s="194"/>
      <c r="F321" s="193"/>
      <c r="G321" s="196"/>
      <c r="H321" s="193" t="str">
        <f t="shared" si="5"/>
        <v xml:space="preserve">E466  </v>
      </c>
      <c r="I321" s="163"/>
    </row>
    <row r="322" spans="2:9">
      <c r="B322" s="74">
        <v>320</v>
      </c>
      <c r="C322" s="193" t="s">
        <v>1499</v>
      </c>
      <c r="D322" s="194" t="s">
        <v>1134</v>
      </c>
      <c r="E322" s="194"/>
      <c r="F322" s="193"/>
      <c r="G322" s="196"/>
      <c r="H322" s="193" t="str">
        <f t="shared" si="5"/>
        <v xml:space="preserve">E467  </v>
      </c>
      <c r="I322" s="163"/>
    </row>
    <row r="323" spans="2:9">
      <c r="B323" s="74">
        <v>321</v>
      </c>
      <c r="C323" s="193" t="s">
        <v>1500</v>
      </c>
      <c r="D323" s="194" t="s">
        <v>1134</v>
      </c>
      <c r="E323" s="194"/>
      <c r="F323" s="193"/>
      <c r="G323" s="196"/>
      <c r="H323" s="193" t="str">
        <f t="shared" si="5"/>
        <v xml:space="preserve">E468  </v>
      </c>
      <c r="I323" s="163"/>
    </row>
    <row r="324" spans="2:9">
      <c r="B324" s="74">
        <v>322</v>
      </c>
      <c r="C324" s="193" t="s">
        <v>1501</v>
      </c>
      <c r="D324" s="194" t="s">
        <v>1134</v>
      </c>
      <c r="E324" s="194"/>
      <c r="F324" s="193"/>
      <c r="G324" s="196"/>
      <c r="H324" s="193" t="str">
        <f t="shared" si="5"/>
        <v xml:space="preserve">E469  </v>
      </c>
      <c r="I324" s="163"/>
    </row>
    <row r="325" spans="2:9">
      <c r="B325" s="74">
        <v>323</v>
      </c>
      <c r="C325" s="193" t="s">
        <v>1502</v>
      </c>
      <c r="D325" s="194" t="s">
        <v>1134</v>
      </c>
      <c r="E325" s="194"/>
      <c r="F325" s="193"/>
      <c r="G325" s="196"/>
      <c r="H325" s="193" t="str">
        <f t="shared" si="5"/>
        <v xml:space="preserve">E470  </v>
      </c>
      <c r="I325" s="163"/>
    </row>
    <row r="326" spans="2:9">
      <c r="B326" s="74">
        <v>324</v>
      </c>
      <c r="C326" s="193" t="s">
        <v>1503</v>
      </c>
      <c r="D326" s="194" t="s">
        <v>1134</v>
      </c>
      <c r="E326" s="194"/>
      <c r="F326" s="193"/>
      <c r="G326" s="196"/>
      <c r="H326" s="193" t="str">
        <f t="shared" si="5"/>
        <v xml:space="preserve">E471  </v>
      </c>
      <c r="I326" s="163"/>
    </row>
    <row r="327" spans="2:9">
      <c r="B327" s="74">
        <v>325</v>
      </c>
      <c r="C327" s="193" t="s">
        <v>1504</v>
      </c>
      <c r="D327" s="194" t="s">
        <v>1134</v>
      </c>
      <c r="E327" s="194"/>
      <c r="F327" s="195"/>
      <c r="G327" s="195"/>
      <c r="H327" s="193" t="str">
        <f t="shared" si="5"/>
        <v xml:space="preserve">E472  </v>
      </c>
      <c r="I327" s="163"/>
    </row>
    <row r="328" spans="2:9">
      <c r="B328" s="74">
        <v>326</v>
      </c>
      <c r="C328" s="193" t="s">
        <v>1505</v>
      </c>
      <c r="D328" s="194" t="s">
        <v>1134</v>
      </c>
      <c r="E328" s="194"/>
      <c r="F328" s="195"/>
      <c r="G328" s="195"/>
      <c r="H328" s="193" t="str">
        <f t="shared" si="5"/>
        <v xml:space="preserve">E473  </v>
      </c>
      <c r="I328" s="163"/>
    </row>
    <row r="329" spans="2:9">
      <c r="B329" s="74">
        <v>327</v>
      </c>
      <c r="C329" s="193" t="s">
        <v>1506</v>
      </c>
      <c r="D329" s="194" t="s">
        <v>1134</v>
      </c>
      <c r="E329" s="194"/>
      <c r="F329" s="195"/>
      <c r="G329" s="195"/>
      <c r="H329" s="193" t="str">
        <f t="shared" si="5"/>
        <v xml:space="preserve">E474  </v>
      </c>
      <c r="I329" s="163"/>
    </row>
    <row r="330" spans="2:9">
      <c r="B330" s="74">
        <v>328</v>
      </c>
      <c r="C330" s="193" t="s">
        <v>1507</v>
      </c>
      <c r="D330" s="194" t="s">
        <v>1134</v>
      </c>
      <c r="E330" s="194"/>
      <c r="F330" s="195"/>
      <c r="G330" s="195"/>
      <c r="H330" s="193" t="str">
        <f t="shared" si="5"/>
        <v xml:space="preserve">E475  </v>
      </c>
      <c r="I330" s="163"/>
    </row>
    <row r="331" spans="2:9">
      <c r="B331" s="74">
        <v>329</v>
      </c>
      <c r="C331" s="193" t="s">
        <v>1508</v>
      </c>
      <c r="D331" s="194" t="s">
        <v>1134</v>
      </c>
      <c r="E331" s="194"/>
      <c r="F331" s="193"/>
      <c r="G331" s="196"/>
      <c r="H331" s="193" t="str">
        <f t="shared" si="5"/>
        <v xml:space="preserve">E476  </v>
      </c>
      <c r="I331" s="163"/>
    </row>
    <row r="332" spans="2:9">
      <c r="B332" s="74">
        <v>330</v>
      </c>
      <c r="C332" s="193" t="s">
        <v>1509</v>
      </c>
      <c r="D332" s="194" t="s">
        <v>1134</v>
      </c>
      <c r="E332" s="194"/>
      <c r="F332" s="193"/>
      <c r="G332" s="196"/>
      <c r="H332" s="193" t="str">
        <f t="shared" si="5"/>
        <v xml:space="preserve">E477  </v>
      </c>
    </row>
    <row r="333" spans="2:9">
      <c r="B333" s="74">
        <v>331</v>
      </c>
      <c r="C333" s="193" t="s">
        <v>1510</v>
      </c>
      <c r="D333" s="194" t="s">
        <v>1134</v>
      </c>
      <c r="E333" s="194"/>
      <c r="F333" s="193"/>
      <c r="G333" s="196"/>
      <c r="H333" s="193" t="str">
        <f t="shared" si="5"/>
        <v xml:space="preserve">E478  </v>
      </c>
    </row>
    <row r="334" spans="2:9">
      <c r="B334" s="74">
        <v>332</v>
      </c>
      <c r="C334" s="193" t="s">
        <v>1511</v>
      </c>
      <c r="D334" s="194" t="s">
        <v>1134</v>
      </c>
      <c r="E334" s="194"/>
      <c r="F334" s="193"/>
      <c r="G334" s="196"/>
      <c r="H334" s="193" t="str">
        <f t="shared" si="5"/>
        <v xml:space="preserve">E479  </v>
      </c>
    </row>
    <row r="335" spans="2:9">
      <c r="B335" s="74">
        <v>333</v>
      </c>
      <c r="C335" s="193" t="s">
        <v>1512</v>
      </c>
      <c r="D335" s="194" t="s">
        <v>1134</v>
      </c>
      <c r="E335" s="194"/>
      <c r="F335" s="193"/>
      <c r="G335" s="196"/>
      <c r="H335" s="193" t="str">
        <f t="shared" si="5"/>
        <v xml:space="preserve">E480  </v>
      </c>
    </row>
    <row r="336" spans="2:9">
      <c r="B336" s="74">
        <v>334</v>
      </c>
      <c r="C336" s="193" t="s">
        <v>1513</v>
      </c>
      <c r="D336" s="194" t="s">
        <v>1134</v>
      </c>
      <c r="E336" s="194"/>
      <c r="F336" s="193"/>
      <c r="G336" s="196"/>
      <c r="H336" s="193" t="str">
        <f t="shared" si="5"/>
        <v xml:space="preserve">E481  </v>
      </c>
    </row>
    <row r="337" spans="2:8">
      <c r="B337" s="74">
        <v>335</v>
      </c>
      <c r="C337" s="193" t="s">
        <v>1514</v>
      </c>
      <c r="D337" s="194" t="s">
        <v>1134</v>
      </c>
      <c r="E337" s="194"/>
      <c r="F337" s="193"/>
      <c r="G337" s="196"/>
      <c r="H337" s="193" t="str">
        <f t="shared" si="5"/>
        <v xml:space="preserve">E482  </v>
      </c>
    </row>
    <row r="338" spans="2:8">
      <c r="B338" s="74">
        <v>336</v>
      </c>
      <c r="C338" s="193" t="s">
        <v>1515</v>
      </c>
      <c r="D338" s="194" t="s">
        <v>1134</v>
      </c>
      <c r="E338" s="194"/>
      <c r="F338" s="193"/>
      <c r="G338" s="196"/>
      <c r="H338" s="193" t="str">
        <f t="shared" si="5"/>
        <v xml:space="preserve">E483  </v>
      </c>
    </row>
    <row r="339" spans="2:8">
      <c r="B339" s="74">
        <v>337</v>
      </c>
      <c r="C339" s="193" t="s">
        <v>1516</v>
      </c>
      <c r="D339" s="194" t="s">
        <v>1134</v>
      </c>
      <c r="E339" s="194"/>
      <c r="F339" s="193"/>
      <c r="G339" s="196"/>
      <c r="H339" s="193" t="str">
        <f t="shared" si="5"/>
        <v xml:space="preserve">E484  </v>
      </c>
    </row>
    <row r="340" spans="2:8">
      <c r="B340" s="74">
        <v>338</v>
      </c>
      <c r="C340" s="193" t="s">
        <v>1517</v>
      </c>
      <c r="D340" s="194" t="s">
        <v>1134</v>
      </c>
      <c r="E340" s="194"/>
      <c r="F340" s="193"/>
      <c r="G340" s="196"/>
      <c r="H340" s="193" t="str">
        <f t="shared" si="5"/>
        <v xml:space="preserve">E485  </v>
      </c>
    </row>
    <row r="341" spans="2:8">
      <c r="B341" s="74">
        <v>339</v>
      </c>
      <c r="C341" s="193" t="s">
        <v>1518</v>
      </c>
      <c r="D341" s="194" t="s">
        <v>1134</v>
      </c>
      <c r="E341" s="194"/>
      <c r="F341" s="193"/>
      <c r="G341" s="196"/>
      <c r="H341" s="193" t="str">
        <f t="shared" si="5"/>
        <v xml:space="preserve">E486  </v>
      </c>
    </row>
    <row r="342" spans="2:8">
      <c r="B342" s="74">
        <v>340</v>
      </c>
      <c r="C342" s="193" t="s">
        <v>1519</v>
      </c>
      <c r="D342" s="194" t="s">
        <v>1134</v>
      </c>
      <c r="E342" s="194"/>
      <c r="F342" s="193"/>
      <c r="G342" s="196"/>
      <c r="H342" s="193" t="str">
        <f t="shared" si="5"/>
        <v xml:space="preserve">E487  </v>
      </c>
    </row>
    <row r="343" spans="2:8">
      <c r="B343" s="74">
        <v>341</v>
      </c>
      <c r="C343" s="193" t="s">
        <v>1520</v>
      </c>
      <c r="D343" s="194" t="s">
        <v>1134</v>
      </c>
      <c r="E343" s="194"/>
      <c r="F343" s="193"/>
      <c r="G343" s="196"/>
      <c r="H343" s="193" t="str">
        <f t="shared" si="5"/>
        <v xml:space="preserve">E488  </v>
      </c>
    </row>
    <row r="344" spans="2:8">
      <c r="B344" s="74">
        <v>342</v>
      </c>
      <c r="C344" s="193" t="s">
        <v>1521</v>
      </c>
      <c r="D344" s="194" t="s">
        <v>1134</v>
      </c>
      <c r="E344" s="194"/>
      <c r="F344" s="193"/>
      <c r="G344" s="196"/>
      <c r="H344" s="193" t="str">
        <f t="shared" si="5"/>
        <v xml:space="preserve">E489  </v>
      </c>
    </row>
    <row r="345" spans="2:8">
      <c r="B345" s="74">
        <v>343</v>
      </c>
      <c r="C345" s="193" t="s">
        <v>1522</v>
      </c>
      <c r="D345" s="194" t="s">
        <v>1134</v>
      </c>
      <c r="E345" s="194"/>
      <c r="F345" s="193"/>
      <c r="G345" s="196"/>
      <c r="H345" s="193" t="str">
        <f t="shared" si="5"/>
        <v xml:space="preserve">E490  </v>
      </c>
    </row>
    <row r="346" spans="2:8">
      <c r="B346" s="74">
        <v>344</v>
      </c>
      <c r="C346" s="193" t="s">
        <v>1523</v>
      </c>
      <c r="D346" s="194" t="s">
        <v>1134</v>
      </c>
      <c r="E346" s="194"/>
      <c r="F346" s="193"/>
      <c r="G346" s="196"/>
      <c r="H346" s="193" t="str">
        <f t="shared" si="5"/>
        <v xml:space="preserve">E491  </v>
      </c>
    </row>
    <row r="347" spans="2:8">
      <c r="B347" s="74">
        <v>345</v>
      </c>
      <c r="C347" s="193" t="s">
        <v>1524</v>
      </c>
      <c r="D347" s="194" t="s">
        <v>1134</v>
      </c>
      <c r="E347" s="194"/>
      <c r="F347" s="193"/>
      <c r="G347" s="196"/>
      <c r="H347" s="193" t="str">
        <f t="shared" si="5"/>
        <v xml:space="preserve">E492  </v>
      </c>
    </row>
    <row r="348" spans="2:8">
      <c r="B348" s="74">
        <v>346</v>
      </c>
      <c r="C348" s="193" t="s">
        <v>1525</v>
      </c>
      <c r="D348" s="194" t="s">
        <v>1134</v>
      </c>
      <c r="E348" s="194"/>
      <c r="F348" s="193"/>
      <c r="G348" s="196"/>
      <c r="H348" s="193" t="str">
        <f t="shared" si="5"/>
        <v xml:space="preserve">E493  </v>
      </c>
    </row>
    <row r="349" spans="2:8">
      <c r="B349" s="74">
        <v>347</v>
      </c>
      <c r="C349" s="193" t="s">
        <v>1526</v>
      </c>
      <c r="D349" s="194" t="s">
        <v>1134</v>
      </c>
      <c r="E349" s="194"/>
      <c r="F349" s="193"/>
      <c r="G349" s="196"/>
      <c r="H349" s="193" t="str">
        <f t="shared" si="5"/>
        <v xml:space="preserve">E494  </v>
      </c>
    </row>
    <row r="350" spans="2:8">
      <c r="B350" s="74">
        <v>348</v>
      </c>
      <c r="C350" s="193" t="s">
        <v>1527</v>
      </c>
      <c r="D350" s="194" t="s">
        <v>1134</v>
      </c>
      <c r="E350" s="194"/>
      <c r="F350" s="193"/>
      <c r="G350" s="196"/>
      <c r="H350" s="193" t="str">
        <f t="shared" si="5"/>
        <v xml:space="preserve">E495  </v>
      </c>
    </row>
    <row r="351" spans="2:8">
      <c r="B351" s="74">
        <v>349</v>
      </c>
      <c r="C351" s="193" t="s">
        <v>1528</v>
      </c>
      <c r="D351" s="194" t="s">
        <v>1134</v>
      </c>
      <c r="E351" s="194"/>
      <c r="F351" s="193"/>
      <c r="G351" s="196"/>
      <c r="H351" s="193" t="str">
        <f t="shared" si="5"/>
        <v xml:space="preserve">E496  </v>
      </c>
    </row>
    <row r="352" spans="2:8">
      <c r="B352" s="74">
        <v>350</v>
      </c>
      <c r="C352" s="193" t="s">
        <v>1529</v>
      </c>
      <c r="D352" s="194" t="s">
        <v>1134</v>
      </c>
      <c r="E352" s="194"/>
      <c r="F352" s="193"/>
      <c r="G352" s="196"/>
      <c r="H352" s="193" t="str">
        <f t="shared" si="5"/>
        <v xml:space="preserve">E497  </v>
      </c>
    </row>
    <row r="353" spans="2:8">
      <c r="B353" s="74">
        <v>351</v>
      </c>
      <c r="C353" s="193" t="s">
        <v>1530</v>
      </c>
      <c r="D353" s="194" t="s">
        <v>1134</v>
      </c>
      <c r="E353" s="194"/>
      <c r="F353" s="193"/>
      <c r="G353" s="196"/>
      <c r="H353" s="193" t="str">
        <f t="shared" si="5"/>
        <v xml:space="preserve">E498  </v>
      </c>
    </row>
    <row r="354" spans="2:8">
      <c r="B354" s="74">
        <v>352</v>
      </c>
      <c r="C354" s="193" t="s">
        <v>1531</v>
      </c>
      <c r="D354" s="194" t="s">
        <v>1134</v>
      </c>
      <c r="E354" s="194"/>
      <c r="F354" s="193"/>
      <c r="G354" s="196"/>
      <c r="H354" s="193" t="str">
        <f t="shared" si="5"/>
        <v xml:space="preserve">E499  </v>
      </c>
    </row>
    <row r="355" spans="2:8">
      <c r="B355" s="74">
        <v>353</v>
      </c>
      <c r="C355" s="193" t="s">
        <v>1532</v>
      </c>
      <c r="D355" s="194" t="s">
        <v>1134</v>
      </c>
      <c r="E355" s="194"/>
      <c r="F355" s="193"/>
      <c r="G355" s="196"/>
      <c r="H355" s="193" t="str">
        <f t="shared" si="5"/>
        <v xml:space="preserve">E500  </v>
      </c>
    </row>
    <row r="356" spans="2:8">
      <c r="B356" s="74">
        <v>354</v>
      </c>
      <c r="C356" s="193" t="s">
        <v>1533</v>
      </c>
      <c r="D356" s="194" t="s">
        <v>1134</v>
      </c>
      <c r="E356" s="194"/>
      <c r="F356" s="193"/>
      <c r="G356" s="196"/>
      <c r="H356" s="193" t="str">
        <f t="shared" si="5"/>
        <v xml:space="preserve">E501  </v>
      </c>
    </row>
    <row r="357" spans="2:8">
      <c r="B357" s="74">
        <v>355</v>
      </c>
      <c r="C357" s="193" t="s">
        <v>1534</v>
      </c>
      <c r="D357" s="194" t="s">
        <v>1134</v>
      </c>
      <c r="E357" s="194"/>
      <c r="F357" s="193"/>
      <c r="G357" s="196"/>
      <c r="H357" s="193" t="str">
        <f t="shared" si="5"/>
        <v xml:space="preserve">E502  </v>
      </c>
    </row>
    <row r="358" spans="2:8">
      <c r="B358" s="74">
        <v>356</v>
      </c>
      <c r="C358" s="193" t="s">
        <v>1535</v>
      </c>
      <c r="D358" s="194" t="s">
        <v>1134</v>
      </c>
      <c r="E358" s="194"/>
      <c r="F358" s="193"/>
      <c r="G358" s="196"/>
      <c r="H358" s="193" t="str">
        <f t="shared" si="5"/>
        <v xml:space="preserve">E503  </v>
      </c>
    </row>
    <row r="359" spans="2:8">
      <c r="B359" s="74">
        <v>357</v>
      </c>
      <c r="C359" s="193" t="s">
        <v>1536</v>
      </c>
      <c r="D359" s="194" t="s">
        <v>1134</v>
      </c>
      <c r="E359" s="194"/>
      <c r="F359" s="193"/>
      <c r="G359" s="196"/>
      <c r="H359" s="193" t="str">
        <f t="shared" si="5"/>
        <v xml:space="preserve">E504  </v>
      </c>
    </row>
    <row r="360" spans="2:8">
      <c r="B360" s="74">
        <v>358</v>
      </c>
      <c r="C360" s="193" t="s">
        <v>1537</v>
      </c>
      <c r="D360" s="194" t="s">
        <v>1134</v>
      </c>
      <c r="E360" s="194"/>
      <c r="F360" s="193"/>
      <c r="G360" s="196"/>
      <c r="H360" s="193" t="str">
        <f t="shared" si="5"/>
        <v xml:space="preserve">E505  </v>
      </c>
    </row>
    <row r="361" spans="2:8">
      <c r="B361" s="74">
        <v>359</v>
      </c>
      <c r="C361" s="193" t="s">
        <v>1538</v>
      </c>
      <c r="D361" s="194" t="s">
        <v>1134</v>
      </c>
      <c r="E361" s="194"/>
      <c r="F361" s="193"/>
      <c r="G361" s="196"/>
      <c r="H361" s="193" t="str">
        <f t="shared" si="5"/>
        <v xml:space="preserve">E506  </v>
      </c>
    </row>
    <row r="362" spans="2:8">
      <c r="B362" s="74">
        <v>360</v>
      </c>
      <c r="C362" s="193" t="s">
        <v>1539</v>
      </c>
      <c r="D362" s="194" t="s">
        <v>1134</v>
      </c>
      <c r="E362" s="194"/>
      <c r="F362" s="193"/>
      <c r="G362" s="196"/>
      <c r="H362" s="193" t="str">
        <f t="shared" si="5"/>
        <v xml:space="preserve">E507  </v>
      </c>
    </row>
    <row r="363" spans="2:8">
      <c r="B363" s="74">
        <v>361</v>
      </c>
      <c r="C363" s="193" t="s">
        <v>1540</v>
      </c>
      <c r="D363" s="194" t="s">
        <v>1134</v>
      </c>
      <c r="E363" s="194"/>
      <c r="F363" s="193"/>
      <c r="G363" s="196"/>
      <c r="H363" s="193" t="str">
        <f t="shared" si="5"/>
        <v xml:space="preserve">E508  </v>
      </c>
    </row>
    <row r="364" spans="2:8">
      <c r="B364" s="74">
        <v>362</v>
      </c>
      <c r="C364" s="193" t="s">
        <v>1541</v>
      </c>
      <c r="D364" s="194" t="s">
        <v>1134</v>
      </c>
      <c r="E364" s="194"/>
      <c r="F364" s="193"/>
      <c r="G364" s="196"/>
      <c r="H364" s="193" t="str">
        <f t="shared" si="5"/>
        <v xml:space="preserve">E509  </v>
      </c>
    </row>
    <row r="365" spans="2:8">
      <c r="B365" s="74">
        <v>363</v>
      </c>
      <c r="C365" s="193" t="s">
        <v>1542</v>
      </c>
      <c r="D365" s="194" t="s">
        <v>1134</v>
      </c>
      <c r="E365" s="194"/>
      <c r="F365" s="193"/>
      <c r="G365" s="196"/>
      <c r="H365" s="193" t="str">
        <f t="shared" si="5"/>
        <v xml:space="preserve">E510  </v>
      </c>
    </row>
    <row r="366" spans="2:8">
      <c r="B366" s="74">
        <v>364</v>
      </c>
      <c r="C366" s="193" t="s">
        <v>1543</v>
      </c>
      <c r="D366" s="194" t="s">
        <v>1134</v>
      </c>
      <c r="E366" s="194"/>
      <c r="F366" s="193"/>
      <c r="G366" s="196"/>
      <c r="H366" s="193" t="str">
        <f t="shared" si="5"/>
        <v xml:space="preserve">E511  </v>
      </c>
    </row>
    <row r="367" spans="2:8">
      <c r="B367" s="74">
        <v>365</v>
      </c>
      <c r="C367" s="193" t="s">
        <v>1544</v>
      </c>
      <c r="D367" s="194" t="s">
        <v>1134</v>
      </c>
      <c r="E367" s="194"/>
      <c r="F367" s="193"/>
      <c r="G367" s="196"/>
      <c r="H367" s="193" t="str">
        <f t="shared" si="5"/>
        <v xml:space="preserve">E512  </v>
      </c>
    </row>
    <row r="368" spans="2:8">
      <c r="B368" s="74">
        <v>366</v>
      </c>
      <c r="C368" s="193" t="s">
        <v>1545</v>
      </c>
      <c r="D368" s="194" t="s">
        <v>1134</v>
      </c>
      <c r="E368" s="194"/>
      <c r="F368" s="193"/>
      <c r="G368" s="196"/>
      <c r="H368" s="193" t="str">
        <f t="shared" si="5"/>
        <v xml:space="preserve">E513  </v>
      </c>
    </row>
    <row r="369" spans="2:8">
      <c r="B369" s="74">
        <v>367</v>
      </c>
      <c r="C369" s="193" t="s">
        <v>1546</v>
      </c>
      <c r="D369" s="194" t="s">
        <v>1134</v>
      </c>
      <c r="E369" s="194"/>
      <c r="F369" s="193"/>
      <c r="G369" s="196"/>
      <c r="H369" s="193" t="str">
        <f t="shared" si="5"/>
        <v xml:space="preserve">E514  </v>
      </c>
    </row>
    <row r="370" spans="2:8">
      <c r="B370" s="74">
        <v>368</v>
      </c>
      <c r="C370" s="193" t="s">
        <v>1547</v>
      </c>
      <c r="D370" s="194" t="s">
        <v>1134</v>
      </c>
      <c r="E370" s="194"/>
      <c r="F370" s="193"/>
      <c r="G370" s="196"/>
      <c r="H370" s="193" t="str">
        <f t="shared" si="5"/>
        <v xml:space="preserve">E515  </v>
      </c>
    </row>
    <row r="371" spans="2:8">
      <c r="B371" s="74">
        <v>369</v>
      </c>
      <c r="C371" s="193" t="s">
        <v>1548</v>
      </c>
      <c r="D371" s="194" t="s">
        <v>1134</v>
      </c>
      <c r="E371" s="194"/>
      <c r="F371" s="193"/>
      <c r="G371" s="196"/>
      <c r="H371" s="193" t="str">
        <f t="shared" si="5"/>
        <v xml:space="preserve">E516  </v>
      </c>
    </row>
    <row r="372" spans="2:8">
      <c r="B372" s="74">
        <v>370</v>
      </c>
      <c r="C372" s="193" t="s">
        <v>1549</v>
      </c>
      <c r="D372" s="194" t="s">
        <v>1134</v>
      </c>
      <c r="E372" s="194"/>
      <c r="F372" s="193"/>
      <c r="G372" s="196"/>
      <c r="H372" s="193" t="str">
        <f t="shared" si="5"/>
        <v xml:space="preserve">E517  </v>
      </c>
    </row>
    <row r="373" spans="2:8">
      <c r="B373" s="74">
        <v>371</v>
      </c>
      <c r="C373" s="193" t="s">
        <v>1550</v>
      </c>
      <c r="D373" s="194" t="s">
        <v>1134</v>
      </c>
      <c r="E373" s="194"/>
      <c r="F373" s="193"/>
      <c r="G373" s="196"/>
      <c r="H373" s="193" t="str">
        <f t="shared" si="5"/>
        <v xml:space="preserve">E518  </v>
      </c>
    </row>
    <row r="374" spans="2:8">
      <c r="B374" s="74">
        <v>372</v>
      </c>
      <c r="C374" s="193" t="s">
        <v>1551</v>
      </c>
      <c r="D374" s="194" t="s">
        <v>1134</v>
      </c>
      <c r="E374" s="194"/>
      <c r="F374" s="193"/>
      <c r="G374" s="196"/>
      <c r="H374" s="193" t="str">
        <f t="shared" si="5"/>
        <v xml:space="preserve">E519  </v>
      </c>
    </row>
    <row r="375" spans="2:8">
      <c r="B375" s="74">
        <v>373</v>
      </c>
      <c r="C375" s="193" t="s">
        <v>1552</v>
      </c>
      <c r="D375" s="194" t="s">
        <v>1134</v>
      </c>
      <c r="E375" s="194"/>
      <c r="F375" s="193"/>
      <c r="G375" s="196"/>
      <c r="H375" s="193" t="str">
        <f t="shared" si="5"/>
        <v xml:space="preserve">E520  </v>
      </c>
    </row>
    <row r="376" spans="2:8">
      <c r="B376" s="74">
        <v>374</v>
      </c>
      <c r="C376" s="193" t="s">
        <v>1553</v>
      </c>
      <c r="D376" s="194" t="s">
        <v>1134</v>
      </c>
      <c r="E376" s="194"/>
      <c r="F376" s="193"/>
      <c r="G376" s="196"/>
      <c r="H376" s="193" t="str">
        <f t="shared" si="5"/>
        <v xml:space="preserve">E521  </v>
      </c>
    </row>
    <row r="377" spans="2:8">
      <c r="B377" s="74">
        <v>375</v>
      </c>
      <c r="C377" s="193" t="s">
        <v>1554</v>
      </c>
      <c r="D377" s="194" t="s">
        <v>1134</v>
      </c>
      <c r="E377" s="194"/>
      <c r="F377" s="193"/>
      <c r="G377" s="196"/>
      <c r="H377" s="193" t="str">
        <f t="shared" ref="H377:H440" si="6">CONCATENATE(C377,D377,F377,D377,G377)</f>
        <v xml:space="preserve">E522  </v>
      </c>
    </row>
    <row r="378" spans="2:8">
      <c r="B378" s="74">
        <v>376</v>
      </c>
      <c r="C378" s="193" t="s">
        <v>1555</v>
      </c>
      <c r="D378" s="194" t="s">
        <v>1134</v>
      </c>
      <c r="E378" s="194"/>
      <c r="F378" s="193"/>
      <c r="G378" s="196"/>
      <c r="H378" s="193" t="str">
        <f t="shared" si="6"/>
        <v xml:space="preserve">E523  </v>
      </c>
    </row>
    <row r="379" spans="2:8">
      <c r="B379" s="74">
        <v>377</v>
      </c>
      <c r="C379" s="193" t="s">
        <v>1556</v>
      </c>
      <c r="D379" s="194" t="s">
        <v>1134</v>
      </c>
      <c r="E379" s="194"/>
      <c r="F379" s="193"/>
      <c r="G379" s="196"/>
      <c r="H379" s="193" t="str">
        <f t="shared" si="6"/>
        <v xml:space="preserve">E524  </v>
      </c>
    </row>
    <row r="380" spans="2:8">
      <c r="B380" s="74">
        <v>378</v>
      </c>
      <c r="C380" s="193" t="s">
        <v>1557</v>
      </c>
      <c r="D380" s="194" t="s">
        <v>1134</v>
      </c>
      <c r="E380" s="194"/>
      <c r="F380" s="193"/>
      <c r="G380" s="196"/>
      <c r="H380" s="193" t="str">
        <f t="shared" si="6"/>
        <v xml:space="preserve">E525  </v>
      </c>
    </row>
    <row r="381" spans="2:8">
      <c r="B381" s="74">
        <v>379</v>
      </c>
      <c r="C381" s="193" t="s">
        <v>1558</v>
      </c>
      <c r="D381" s="194" t="s">
        <v>1134</v>
      </c>
      <c r="E381" s="194"/>
      <c r="F381" s="193"/>
      <c r="G381" s="196"/>
      <c r="H381" s="193" t="str">
        <f t="shared" si="6"/>
        <v xml:space="preserve">E526  </v>
      </c>
    </row>
    <row r="382" spans="2:8">
      <c r="B382" s="74">
        <v>380</v>
      </c>
      <c r="C382" s="193" t="s">
        <v>1559</v>
      </c>
      <c r="D382" s="194" t="s">
        <v>1134</v>
      </c>
      <c r="E382" s="194"/>
      <c r="F382" s="193"/>
      <c r="G382" s="196"/>
      <c r="H382" s="193" t="str">
        <f t="shared" si="6"/>
        <v xml:space="preserve">E527  </v>
      </c>
    </row>
    <row r="383" spans="2:8">
      <c r="B383" s="74">
        <v>381</v>
      </c>
      <c r="C383" s="193" t="s">
        <v>1560</v>
      </c>
      <c r="D383" s="194" t="s">
        <v>1134</v>
      </c>
      <c r="E383" s="194"/>
      <c r="F383" s="193"/>
      <c r="G383" s="196"/>
      <c r="H383" s="193" t="str">
        <f t="shared" si="6"/>
        <v xml:space="preserve">E528  </v>
      </c>
    </row>
    <row r="384" spans="2:8">
      <c r="B384" s="74">
        <v>382</v>
      </c>
      <c r="C384" s="193" t="s">
        <v>1561</v>
      </c>
      <c r="D384" s="194" t="s">
        <v>1134</v>
      </c>
      <c r="E384" s="194"/>
      <c r="F384" s="193"/>
      <c r="G384" s="196"/>
      <c r="H384" s="193" t="str">
        <f t="shared" si="6"/>
        <v xml:space="preserve">E529  </v>
      </c>
    </row>
    <row r="385" spans="2:8">
      <c r="B385" s="74">
        <v>383</v>
      </c>
      <c r="C385" s="193" t="s">
        <v>1562</v>
      </c>
      <c r="D385" s="194" t="s">
        <v>1134</v>
      </c>
      <c r="E385" s="194"/>
      <c r="F385" s="193"/>
      <c r="G385" s="196"/>
      <c r="H385" s="193" t="str">
        <f t="shared" si="6"/>
        <v xml:space="preserve">E530  </v>
      </c>
    </row>
    <row r="386" spans="2:8">
      <c r="B386" s="74">
        <v>384</v>
      </c>
      <c r="C386" s="193" t="s">
        <v>1563</v>
      </c>
      <c r="D386" s="194" t="s">
        <v>1134</v>
      </c>
      <c r="E386" s="194"/>
      <c r="F386" s="193"/>
      <c r="G386" s="196"/>
      <c r="H386" s="193" t="str">
        <f t="shared" si="6"/>
        <v xml:space="preserve">E531  </v>
      </c>
    </row>
    <row r="387" spans="2:8">
      <c r="B387" s="74">
        <v>385</v>
      </c>
      <c r="C387" s="193" t="s">
        <v>1564</v>
      </c>
      <c r="D387" s="194" t="s">
        <v>1134</v>
      </c>
      <c r="E387" s="194"/>
      <c r="F387" s="193"/>
      <c r="G387" s="196"/>
      <c r="H387" s="193" t="str">
        <f t="shared" si="6"/>
        <v xml:space="preserve">E532  </v>
      </c>
    </row>
    <row r="388" spans="2:8">
      <c r="B388" s="74">
        <v>386</v>
      </c>
      <c r="C388" s="193" t="s">
        <v>1565</v>
      </c>
      <c r="D388" s="194" t="s">
        <v>1134</v>
      </c>
      <c r="E388" s="194"/>
      <c r="F388" s="193"/>
      <c r="G388" s="196"/>
      <c r="H388" s="193" t="str">
        <f t="shared" si="6"/>
        <v xml:space="preserve">E533  </v>
      </c>
    </row>
    <row r="389" spans="2:8">
      <c r="B389" s="74">
        <v>387</v>
      </c>
      <c r="C389" s="193" t="s">
        <v>1566</v>
      </c>
      <c r="D389" s="194" t="s">
        <v>1134</v>
      </c>
      <c r="E389" s="194"/>
      <c r="F389" s="193"/>
      <c r="G389" s="196"/>
      <c r="H389" s="193" t="str">
        <f t="shared" si="6"/>
        <v xml:space="preserve">E534  </v>
      </c>
    </row>
    <row r="390" spans="2:8">
      <c r="B390" s="74">
        <v>388</v>
      </c>
      <c r="C390" s="193" t="s">
        <v>1567</v>
      </c>
      <c r="D390" s="194" t="s">
        <v>1134</v>
      </c>
      <c r="E390" s="194"/>
      <c r="F390" s="193"/>
      <c r="G390" s="196"/>
      <c r="H390" s="193" t="str">
        <f t="shared" si="6"/>
        <v xml:space="preserve">E535  </v>
      </c>
    </row>
    <row r="391" spans="2:8">
      <c r="B391" s="74">
        <v>389</v>
      </c>
      <c r="C391" s="193" t="s">
        <v>1568</v>
      </c>
      <c r="D391" s="194" t="s">
        <v>1134</v>
      </c>
      <c r="E391" s="194"/>
      <c r="F391" s="193"/>
      <c r="G391" s="196"/>
      <c r="H391" s="193" t="str">
        <f t="shared" si="6"/>
        <v xml:space="preserve">E536  </v>
      </c>
    </row>
    <row r="392" spans="2:8">
      <c r="B392" s="74">
        <v>390</v>
      </c>
      <c r="C392" s="193" t="s">
        <v>1569</v>
      </c>
      <c r="D392" s="194" t="s">
        <v>1134</v>
      </c>
      <c r="E392" s="194"/>
      <c r="F392" s="193"/>
      <c r="G392" s="196"/>
      <c r="H392" s="193" t="str">
        <f t="shared" si="6"/>
        <v xml:space="preserve">E537  </v>
      </c>
    </row>
    <row r="393" spans="2:8">
      <c r="B393" s="74">
        <v>391</v>
      </c>
      <c r="C393" s="193" t="s">
        <v>1570</v>
      </c>
      <c r="D393" s="194" t="s">
        <v>1134</v>
      </c>
      <c r="E393" s="194"/>
      <c r="F393" s="193"/>
      <c r="G393" s="196"/>
      <c r="H393" s="193" t="str">
        <f t="shared" si="6"/>
        <v xml:space="preserve">E538  </v>
      </c>
    </row>
    <row r="394" spans="2:8">
      <c r="B394" s="74">
        <v>392</v>
      </c>
      <c r="C394" s="193" t="s">
        <v>1571</v>
      </c>
      <c r="D394" s="194" t="s">
        <v>1134</v>
      </c>
      <c r="E394" s="194"/>
      <c r="F394" s="193"/>
      <c r="G394" s="196"/>
      <c r="H394" s="193" t="str">
        <f t="shared" si="6"/>
        <v xml:space="preserve">E539  </v>
      </c>
    </row>
    <row r="395" spans="2:8">
      <c r="B395" s="74">
        <v>393</v>
      </c>
      <c r="C395" s="193" t="s">
        <v>1572</v>
      </c>
      <c r="D395" s="194" t="s">
        <v>1134</v>
      </c>
      <c r="E395" s="194"/>
      <c r="F395" s="193"/>
      <c r="G395" s="196"/>
      <c r="H395" s="193" t="str">
        <f t="shared" si="6"/>
        <v xml:space="preserve">E540  </v>
      </c>
    </row>
    <row r="396" spans="2:8">
      <c r="B396" s="74">
        <v>394</v>
      </c>
      <c r="C396" s="193" t="s">
        <v>1573</v>
      </c>
      <c r="D396" s="194" t="s">
        <v>1134</v>
      </c>
      <c r="E396" s="194"/>
      <c r="F396" s="193"/>
      <c r="G396" s="196"/>
      <c r="H396" s="193" t="str">
        <f t="shared" si="6"/>
        <v xml:space="preserve">E541  </v>
      </c>
    </row>
    <row r="397" spans="2:8">
      <c r="B397" s="74">
        <v>395</v>
      </c>
      <c r="C397" s="193" t="s">
        <v>1574</v>
      </c>
      <c r="D397" s="194" t="s">
        <v>1134</v>
      </c>
      <c r="E397" s="194"/>
      <c r="F397" s="193"/>
      <c r="G397" s="196"/>
      <c r="H397" s="193" t="str">
        <f t="shared" si="6"/>
        <v xml:space="preserve">E542  </v>
      </c>
    </row>
    <row r="398" spans="2:8">
      <c r="B398" s="74">
        <v>396</v>
      </c>
      <c r="C398" s="193" t="s">
        <v>1575</v>
      </c>
      <c r="D398" s="194" t="s">
        <v>1134</v>
      </c>
      <c r="E398" s="194"/>
      <c r="F398" s="193"/>
      <c r="G398" s="196"/>
      <c r="H398" s="193" t="str">
        <f t="shared" si="6"/>
        <v xml:space="preserve">E543  </v>
      </c>
    </row>
    <row r="399" spans="2:8">
      <c r="B399" s="74">
        <v>397</v>
      </c>
      <c r="C399" s="193" t="s">
        <v>1576</v>
      </c>
      <c r="D399" s="194" t="s">
        <v>1134</v>
      </c>
      <c r="E399" s="194"/>
      <c r="F399" s="193"/>
      <c r="G399" s="196"/>
      <c r="H399" s="193" t="str">
        <f t="shared" si="6"/>
        <v xml:space="preserve">E544  </v>
      </c>
    </row>
    <row r="400" spans="2:8">
      <c r="B400" s="74">
        <v>398</v>
      </c>
      <c r="C400" s="193" t="s">
        <v>1577</v>
      </c>
      <c r="D400" s="194" t="s">
        <v>1134</v>
      </c>
      <c r="E400" s="194"/>
      <c r="F400" s="193"/>
      <c r="G400" s="196"/>
      <c r="H400" s="193" t="str">
        <f t="shared" si="6"/>
        <v xml:space="preserve">E545  </v>
      </c>
    </row>
    <row r="401" spans="2:8">
      <c r="B401" s="74">
        <v>399</v>
      </c>
      <c r="C401" s="193" t="s">
        <v>1578</v>
      </c>
      <c r="D401" s="194" t="s">
        <v>1134</v>
      </c>
      <c r="E401" s="194"/>
      <c r="F401" s="193"/>
      <c r="G401" s="196"/>
      <c r="H401" s="193" t="str">
        <f t="shared" si="6"/>
        <v xml:space="preserve">E546  </v>
      </c>
    </row>
    <row r="402" spans="2:8">
      <c r="B402" s="74">
        <v>400</v>
      </c>
      <c r="C402" s="193" t="s">
        <v>1579</v>
      </c>
      <c r="D402" s="194" t="s">
        <v>1134</v>
      </c>
      <c r="E402" s="194"/>
      <c r="F402" s="193"/>
      <c r="G402" s="196"/>
      <c r="H402" s="193" t="str">
        <f t="shared" si="6"/>
        <v xml:space="preserve">E547  </v>
      </c>
    </row>
    <row r="403" spans="2:8">
      <c r="B403" s="74">
        <v>401</v>
      </c>
      <c r="C403" s="193" t="s">
        <v>1580</v>
      </c>
      <c r="D403" s="194" t="s">
        <v>1134</v>
      </c>
      <c r="E403" s="194"/>
      <c r="F403" s="193"/>
      <c r="G403" s="196"/>
      <c r="H403" s="193" t="str">
        <f t="shared" si="6"/>
        <v xml:space="preserve">E548  </v>
      </c>
    </row>
    <row r="404" spans="2:8">
      <c r="B404" s="74">
        <v>402</v>
      </c>
      <c r="C404" s="193" t="s">
        <v>1581</v>
      </c>
      <c r="D404" s="194" t="s">
        <v>1134</v>
      </c>
      <c r="E404" s="194"/>
      <c r="F404" s="193"/>
      <c r="G404" s="196"/>
      <c r="H404" s="193" t="str">
        <f t="shared" si="6"/>
        <v xml:space="preserve">E549  </v>
      </c>
    </row>
    <row r="405" spans="2:8">
      <c r="B405" s="74">
        <v>403</v>
      </c>
      <c r="C405" s="193" t="s">
        <v>1582</v>
      </c>
      <c r="D405" s="194" t="s">
        <v>1134</v>
      </c>
      <c r="E405" s="194"/>
      <c r="F405" s="193"/>
      <c r="G405" s="196"/>
      <c r="H405" s="193" t="str">
        <f t="shared" si="6"/>
        <v xml:space="preserve">E550  </v>
      </c>
    </row>
    <row r="406" spans="2:8">
      <c r="B406" s="74">
        <v>404</v>
      </c>
      <c r="C406" s="193" t="s">
        <v>1583</v>
      </c>
      <c r="D406" s="194" t="s">
        <v>1134</v>
      </c>
      <c r="E406" s="194"/>
      <c r="F406" s="193"/>
      <c r="G406" s="196"/>
      <c r="H406" s="193" t="str">
        <f t="shared" si="6"/>
        <v xml:space="preserve">E551  </v>
      </c>
    </row>
    <row r="407" spans="2:8">
      <c r="B407" s="74">
        <v>405</v>
      </c>
      <c r="C407" s="193" t="s">
        <v>1584</v>
      </c>
      <c r="D407" s="194" t="s">
        <v>1134</v>
      </c>
      <c r="E407" s="194"/>
      <c r="F407" s="193"/>
      <c r="G407" s="196"/>
      <c r="H407" s="193" t="str">
        <f t="shared" si="6"/>
        <v xml:space="preserve">E552  </v>
      </c>
    </row>
    <row r="408" spans="2:8">
      <c r="B408" s="74">
        <v>406</v>
      </c>
      <c r="C408" s="193" t="s">
        <v>1585</v>
      </c>
      <c r="D408" s="194" t="s">
        <v>1134</v>
      </c>
      <c r="E408" s="194"/>
      <c r="F408" s="193"/>
      <c r="G408" s="196"/>
      <c r="H408" s="193" t="str">
        <f t="shared" si="6"/>
        <v xml:space="preserve">E553  </v>
      </c>
    </row>
    <row r="409" spans="2:8">
      <c r="B409" s="74">
        <v>407</v>
      </c>
      <c r="C409" s="193" t="s">
        <v>1586</v>
      </c>
      <c r="D409" s="194" t="s">
        <v>1134</v>
      </c>
      <c r="E409" s="194"/>
      <c r="F409" s="193"/>
      <c r="G409" s="196"/>
      <c r="H409" s="193" t="str">
        <f t="shared" si="6"/>
        <v xml:space="preserve">E554  </v>
      </c>
    </row>
    <row r="410" spans="2:8">
      <c r="B410" s="74">
        <v>408</v>
      </c>
      <c r="C410" s="193" t="s">
        <v>1587</v>
      </c>
      <c r="D410" s="194" t="s">
        <v>1134</v>
      </c>
      <c r="E410" s="194"/>
      <c r="F410" s="193"/>
      <c r="G410" s="196"/>
      <c r="H410" s="193" t="str">
        <f t="shared" si="6"/>
        <v xml:space="preserve">E555  </v>
      </c>
    </row>
    <row r="411" spans="2:8">
      <c r="B411" s="74">
        <v>409</v>
      </c>
      <c r="C411" s="193" t="s">
        <v>1588</v>
      </c>
      <c r="D411" s="194" t="s">
        <v>1134</v>
      </c>
      <c r="E411" s="194"/>
      <c r="F411" s="193"/>
      <c r="G411" s="196"/>
      <c r="H411" s="193" t="str">
        <f t="shared" si="6"/>
        <v xml:space="preserve">E556  </v>
      </c>
    </row>
    <row r="412" spans="2:8">
      <c r="B412" s="74">
        <v>410</v>
      </c>
      <c r="C412" s="193" t="s">
        <v>1589</v>
      </c>
      <c r="D412" s="194" t="s">
        <v>1134</v>
      </c>
      <c r="E412" s="194"/>
      <c r="F412" s="193"/>
      <c r="G412" s="196"/>
      <c r="H412" s="193" t="str">
        <f t="shared" si="6"/>
        <v xml:space="preserve">E557  </v>
      </c>
    </row>
    <row r="413" spans="2:8">
      <c r="B413" s="74">
        <v>411</v>
      </c>
      <c r="C413" s="193" t="s">
        <v>1590</v>
      </c>
      <c r="D413" s="194" t="s">
        <v>1134</v>
      </c>
      <c r="E413" s="194"/>
      <c r="F413" s="193"/>
      <c r="G413" s="196"/>
      <c r="H413" s="193" t="str">
        <f t="shared" si="6"/>
        <v xml:space="preserve">E558  </v>
      </c>
    </row>
    <row r="414" spans="2:8">
      <c r="B414" s="74">
        <v>412</v>
      </c>
      <c r="C414" s="193" t="s">
        <v>1591</v>
      </c>
      <c r="D414" s="194" t="s">
        <v>1134</v>
      </c>
      <c r="E414" s="194"/>
      <c r="F414" s="193"/>
      <c r="G414" s="196"/>
      <c r="H414" s="193" t="str">
        <f t="shared" si="6"/>
        <v xml:space="preserve">E559  </v>
      </c>
    </row>
    <row r="415" spans="2:8">
      <c r="B415" s="74">
        <v>413</v>
      </c>
      <c r="C415" s="193" t="s">
        <v>1592</v>
      </c>
      <c r="D415" s="194" t="s">
        <v>1134</v>
      </c>
      <c r="E415" s="194"/>
      <c r="F415" s="193"/>
      <c r="G415" s="196"/>
      <c r="H415" s="193" t="str">
        <f t="shared" si="6"/>
        <v xml:space="preserve">E560  </v>
      </c>
    </row>
    <row r="416" spans="2:8">
      <c r="B416" s="74">
        <v>414</v>
      </c>
      <c r="C416" s="193" t="s">
        <v>1593</v>
      </c>
      <c r="D416" s="194" t="s">
        <v>1134</v>
      </c>
      <c r="E416" s="194"/>
      <c r="F416" s="193"/>
      <c r="G416" s="196"/>
      <c r="H416" s="193" t="str">
        <f t="shared" si="6"/>
        <v xml:space="preserve">E561  </v>
      </c>
    </row>
    <row r="417" spans="2:8">
      <c r="B417" s="74">
        <v>415</v>
      </c>
      <c r="C417" s="193" t="s">
        <v>1594</v>
      </c>
      <c r="D417" s="194" t="s">
        <v>1134</v>
      </c>
      <c r="E417" s="194"/>
      <c r="F417" s="193"/>
      <c r="G417" s="196"/>
      <c r="H417" s="193" t="str">
        <f t="shared" si="6"/>
        <v xml:space="preserve">E562  </v>
      </c>
    </row>
    <row r="418" spans="2:8">
      <c r="B418" s="74">
        <v>416</v>
      </c>
      <c r="C418" s="193" t="s">
        <v>1595</v>
      </c>
      <c r="D418" s="194" t="s">
        <v>1134</v>
      </c>
      <c r="E418" s="194"/>
      <c r="F418" s="193"/>
      <c r="G418" s="196"/>
      <c r="H418" s="193" t="str">
        <f t="shared" si="6"/>
        <v xml:space="preserve">E563  </v>
      </c>
    </row>
    <row r="419" spans="2:8">
      <c r="B419" s="74">
        <v>417</v>
      </c>
      <c r="C419" s="193" t="s">
        <v>1596</v>
      </c>
      <c r="D419" s="194" t="s">
        <v>1134</v>
      </c>
      <c r="E419" s="194"/>
      <c r="F419" s="193"/>
      <c r="G419" s="196"/>
      <c r="H419" s="193" t="str">
        <f t="shared" si="6"/>
        <v xml:space="preserve">E564  </v>
      </c>
    </row>
    <row r="420" spans="2:8">
      <c r="B420" s="74">
        <v>418</v>
      </c>
      <c r="C420" s="193" t="s">
        <v>1597</v>
      </c>
      <c r="D420" s="194" t="s">
        <v>1134</v>
      </c>
      <c r="E420" s="194"/>
      <c r="F420" s="193"/>
      <c r="G420" s="196"/>
      <c r="H420" s="193" t="str">
        <f t="shared" si="6"/>
        <v xml:space="preserve">E565  </v>
      </c>
    </row>
    <row r="421" spans="2:8">
      <c r="B421" s="74">
        <v>419</v>
      </c>
      <c r="C421" s="193" t="s">
        <v>1598</v>
      </c>
      <c r="D421" s="194" t="s">
        <v>1134</v>
      </c>
      <c r="E421" s="194"/>
      <c r="F421" s="193"/>
      <c r="G421" s="196"/>
      <c r="H421" s="193" t="str">
        <f t="shared" si="6"/>
        <v xml:space="preserve">E566  </v>
      </c>
    </row>
    <row r="422" spans="2:8">
      <c r="B422" s="74">
        <v>420</v>
      </c>
      <c r="C422" s="193" t="s">
        <v>1599</v>
      </c>
      <c r="D422" s="194" t="s">
        <v>1134</v>
      </c>
      <c r="E422" s="194"/>
      <c r="F422" s="193"/>
      <c r="G422" s="196"/>
      <c r="H422" s="193" t="str">
        <f t="shared" si="6"/>
        <v xml:space="preserve">E567  </v>
      </c>
    </row>
    <row r="423" spans="2:8">
      <c r="B423" s="74">
        <v>421</v>
      </c>
      <c r="C423" s="193" t="s">
        <v>1600</v>
      </c>
      <c r="D423" s="194" t="s">
        <v>1134</v>
      </c>
      <c r="E423" s="194"/>
      <c r="F423" s="193"/>
      <c r="G423" s="196"/>
      <c r="H423" s="193" t="str">
        <f t="shared" si="6"/>
        <v xml:space="preserve">E568  </v>
      </c>
    </row>
    <row r="424" spans="2:8">
      <c r="B424" s="74">
        <v>422</v>
      </c>
      <c r="C424" s="193" t="s">
        <v>1601</v>
      </c>
      <c r="D424" s="194" t="s">
        <v>1134</v>
      </c>
      <c r="E424" s="194"/>
      <c r="F424" s="193"/>
      <c r="G424" s="196"/>
      <c r="H424" s="193" t="str">
        <f t="shared" si="6"/>
        <v xml:space="preserve">E569  </v>
      </c>
    </row>
    <row r="425" spans="2:8">
      <c r="B425" s="74">
        <v>423</v>
      </c>
      <c r="C425" s="193" t="s">
        <v>1602</v>
      </c>
      <c r="D425" s="194" t="s">
        <v>1134</v>
      </c>
      <c r="E425" s="194"/>
      <c r="F425" s="193"/>
      <c r="G425" s="196"/>
      <c r="H425" s="193" t="str">
        <f t="shared" si="6"/>
        <v xml:space="preserve">E570  </v>
      </c>
    </row>
    <row r="426" spans="2:8">
      <c r="B426" s="74">
        <v>424</v>
      </c>
      <c r="C426" s="193" t="s">
        <v>1603</v>
      </c>
      <c r="D426" s="194" t="s">
        <v>1134</v>
      </c>
      <c r="E426" s="194"/>
      <c r="F426" s="193"/>
      <c r="G426" s="196"/>
      <c r="H426" s="193" t="str">
        <f t="shared" si="6"/>
        <v xml:space="preserve">E571  </v>
      </c>
    </row>
    <row r="427" spans="2:8">
      <c r="B427" s="74">
        <v>425</v>
      </c>
      <c r="C427" s="193" t="s">
        <v>1604</v>
      </c>
      <c r="D427" s="194" t="s">
        <v>1134</v>
      </c>
      <c r="E427" s="194"/>
      <c r="F427" s="193"/>
      <c r="G427" s="196"/>
      <c r="H427" s="193" t="str">
        <f t="shared" si="6"/>
        <v xml:space="preserve">E572  </v>
      </c>
    </row>
    <row r="428" spans="2:8">
      <c r="B428" s="74">
        <v>426</v>
      </c>
      <c r="C428" s="193" t="s">
        <v>1605</v>
      </c>
      <c r="D428" s="194" t="s">
        <v>1134</v>
      </c>
      <c r="E428" s="194"/>
      <c r="F428" s="193"/>
      <c r="G428" s="196"/>
      <c r="H428" s="193" t="str">
        <f t="shared" si="6"/>
        <v xml:space="preserve">E573  </v>
      </c>
    </row>
    <row r="429" spans="2:8">
      <c r="B429" s="74">
        <v>427</v>
      </c>
      <c r="C429" s="193" t="s">
        <v>1606</v>
      </c>
      <c r="D429" s="194" t="s">
        <v>1134</v>
      </c>
      <c r="E429" s="194"/>
      <c r="F429" s="193"/>
      <c r="G429" s="196"/>
      <c r="H429" s="193" t="str">
        <f t="shared" si="6"/>
        <v xml:space="preserve">E574  </v>
      </c>
    </row>
    <row r="430" spans="2:8">
      <c r="B430" s="74">
        <v>428</v>
      </c>
      <c r="C430" s="193" t="s">
        <v>1607</v>
      </c>
      <c r="D430" s="194" t="s">
        <v>1134</v>
      </c>
      <c r="E430" s="194"/>
      <c r="F430" s="193"/>
      <c r="G430" s="196"/>
      <c r="H430" s="193" t="str">
        <f t="shared" si="6"/>
        <v xml:space="preserve">E575  </v>
      </c>
    </row>
    <row r="431" spans="2:8">
      <c r="B431" s="74">
        <v>429</v>
      </c>
      <c r="C431" s="193" t="s">
        <v>1608</v>
      </c>
      <c r="D431" s="194" t="s">
        <v>1134</v>
      </c>
      <c r="E431" s="194"/>
      <c r="F431" s="193"/>
      <c r="G431" s="196"/>
      <c r="H431" s="193" t="str">
        <f t="shared" si="6"/>
        <v xml:space="preserve">E576  </v>
      </c>
    </row>
    <row r="432" spans="2:8">
      <c r="B432" s="74">
        <v>430</v>
      </c>
      <c r="C432" s="193" t="s">
        <v>1609</v>
      </c>
      <c r="D432" s="194" t="s">
        <v>1134</v>
      </c>
      <c r="E432" s="194"/>
      <c r="F432" s="193"/>
      <c r="G432" s="196"/>
      <c r="H432" s="193" t="str">
        <f t="shared" si="6"/>
        <v xml:space="preserve">E577  </v>
      </c>
    </row>
    <row r="433" spans="2:8">
      <c r="B433" s="74">
        <v>431</v>
      </c>
      <c r="C433" s="193" t="s">
        <v>1610</v>
      </c>
      <c r="D433" s="194" t="s">
        <v>1134</v>
      </c>
      <c r="E433" s="194"/>
      <c r="F433" s="193"/>
      <c r="G433" s="196"/>
      <c r="H433" s="193" t="str">
        <f t="shared" si="6"/>
        <v xml:space="preserve">E578  </v>
      </c>
    </row>
    <row r="434" spans="2:8">
      <c r="B434" s="74">
        <v>432</v>
      </c>
      <c r="C434" s="193" t="s">
        <v>1611</v>
      </c>
      <c r="D434" s="194" t="s">
        <v>1134</v>
      </c>
      <c r="E434" s="194"/>
      <c r="F434" s="193"/>
      <c r="G434" s="196"/>
      <c r="H434" s="193" t="str">
        <f t="shared" si="6"/>
        <v xml:space="preserve">E579  </v>
      </c>
    </row>
    <row r="435" spans="2:8">
      <c r="B435" s="74">
        <v>433</v>
      </c>
      <c r="C435" s="193" t="s">
        <v>1612</v>
      </c>
      <c r="D435" s="194" t="s">
        <v>1134</v>
      </c>
      <c r="E435" s="194"/>
      <c r="F435" s="193"/>
      <c r="G435" s="196"/>
      <c r="H435" s="193" t="str">
        <f t="shared" si="6"/>
        <v xml:space="preserve">E580  </v>
      </c>
    </row>
    <row r="436" spans="2:8">
      <c r="B436" s="74">
        <v>434</v>
      </c>
      <c r="C436" s="193" t="s">
        <v>1613</v>
      </c>
      <c r="D436" s="194" t="s">
        <v>1134</v>
      </c>
      <c r="E436" s="194"/>
      <c r="F436" s="193"/>
      <c r="G436" s="196"/>
      <c r="H436" s="193" t="str">
        <f t="shared" si="6"/>
        <v xml:space="preserve">E581  </v>
      </c>
    </row>
    <row r="437" spans="2:8">
      <c r="B437" s="74">
        <v>435</v>
      </c>
      <c r="C437" s="193" t="s">
        <v>1614</v>
      </c>
      <c r="D437" s="194" t="s">
        <v>1134</v>
      </c>
      <c r="E437" s="194"/>
      <c r="F437" s="193"/>
      <c r="G437" s="196"/>
      <c r="H437" s="193" t="str">
        <f t="shared" si="6"/>
        <v xml:space="preserve">E582  </v>
      </c>
    </row>
    <row r="438" spans="2:8">
      <c r="B438" s="74">
        <v>436</v>
      </c>
      <c r="C438" s="193" t="s">
        <v>1615</v>
      </c>
      <c r="D438" s="194" t="s">
        <v>1134</v>
      </c>
      <c r="E438" s="194"/>
      <c r="F438" s="193"/>
      <c r="G438" s="196"/>
      <c r="H438" s="193" t="str">
        <f t="shared" si="6"/>
        <v xml:space="preserve">E583  </v>
      </c>
    </row>
    <row r="439" spans="2:8">
      <c r="B439" s="74">
        <v>437</v>
      </c>
      <c r="C439" s="193" t="s">
        <v>1616</v>
      </c>
      <c r="D439" s="194" t="s">
        <v>1134</v>
      </c>
      <c r="E439" s="194"/>
      <c r="F439" s="193"/>
      <c r="G439" s="196"/>
      <c r="H439" s="193" t="str">
        <f t="shared" si="6"/>
        <v xml:space="preserve">E584  </v>
      </c>
    </row>
    <row r="440" spans="2:8">
      <c r="B440" s="74">
        <v>438</v>
      </c>
      <c r="C440" s="193" t="s">
        <v>1617</v>
      </c>
      <c r="D440" s="194" t="s">
        <v>1134</v>
      </c>
      <c r="E440" s="194"/>
      <c r="F440" s="193"/>
      <c r="G440" s="196"/>
      <c r="H440" s="193" t="str">
        <f t="shared" si="6"/>
        <v xml:space="preserve">E585  </v>
      </c>
    </row>
    <row r="441" spans="2:8">
      <c r="B441" s="74">
        <v>439</v>
      </c>
      <c r="C441" s="193" t="s">
        <v>1618</v>
      </c>
      <c r="D441" s="194" t="s">
        <v>1134</v>
      </c>
      <c r="E441" s="194"/>
      <c r="F441" s="193"/>
      <c r="G441" s="196"/>
      <c r="H441" s="193" t="str">
        <f t="shared" ref="H441:H467" si="7">CONCATENATE(C441,D441,F441,D441,G441)</f>
        <v xml:space="preserve">E586  </v>
      </c>
    </row>
    <row r="442" spans="2:8">
      <c r="B442" s="74">
        <v>440</v>
      </c>
      <c r="C442" s="193" t="s">
        <v>1619</v>
      </c>
      <c r="D442" s="194" t="s">
        <v>1134</v>
      </c>
      <c r="E442" s="194"/>
      <c r="F442" s="193"/>
      <c r="G442" s="196"/>
      <c r="H442" s="193" t="str">
        <f t="shared" si="7"/>
        <v xml:space="preserve">E587  </v>
      </c>
    </row>
    <row r="443" spans="2:8">
      <c r="B443" s="74">
        <v>441</v>
      </c>
      <c r="C443" s="193" t="s">
        <v>1620</v>
      </c>
      <c r="D443" s="194" t="s">
        <v>1134</v>
      </c>
      <c r="E443" s="194"/>
      <c r="F443" s="193"/>
      <c r="G443" s="196"/>
      <c r="H443" s="193" t="str">
        <f t="shared" si="7"/>
        <v xml:space="preserve">E588  </v>
      </c>
    </row>
    <row r="444" spans="2:8">
      <c r="B444" s="74">
        <v>442</v>
      </c>
      <c r="C444" s="193" t="s">
        <v>1621</v>
      </c>
      <c r="D444" s="194" t="s">
        <v>1134</v>
      </c>
      <c r="E444" s="194"/>
      <c r="F444" s="193"/>
      <c r="G444" s="196"/>
      <c r="H444" s="193" t="str">
        <f t="shared" si="7"/>
        <v xml:space="preserve">E589  </v>
      </c>
    </row>
    <row r="445" spans="2:8">
      <c r="B445" s="74">
        <v>443</v>
      </c>
      <c r="C445" s="193" t="s">
        <v>1622</v>
      </c>
      <c r="D445" s="194" t="s">
        <v>1134</v>
      </c>
      <c r="E445" s="194"/>
      <c r="F445" s="193"/>
      <c r="G445" s="196"/>
      <c r="H445" s="193" t="str">
        <f t="shared" si="7"/>
        <v xml:space="preserve">E590  </v>
      </c>
    </row>
    <row r="446" spans="2:8">
      <c r="B446" s="74">
        <v>444</v>
      </c>
      <c r="C446" s="193" t="s">
        <v>1623</v>
      </c>
      <c r="D446" s="194" t="s">
        <v>1134</v>
      </c>
      <c r="E446" s="194"/>
      <c r="F446" s="193"/>
      <c r="G446" s="196"/>
      <c r="H446" s="193" t="str">
        <f t="shared" si="7"/>
        <v xml:space="preserve">E591  </v>
      </c>
    </row>
    <row r="447" spans="2:8">
      <c r="B447" s="74">
        <v>445</v>
      </c>
      <c r="C447" s="193" t="s">
        <v>1624</v>
      </c>
      <c r="D447" s="194" t="s">
        <v>1134</v>
      </c>
      <c r="E447" s="194"/>
      <c r="F447" s="193"/>
      <c r="G447" s="196"/>
      <c r="H447" s="193" t="str">
        <f t="shared" si="7"/>
        <v xml:space="preserve">E592  </v>
      </c>
    </row>
    <row r="448" spans="2:8">
      <c r="B448" s="74">
        <v>446</v>
      </c>
      <c r="C448" s="193" t="s">
        <v>1625</v>
      </c>
      <c r="D448" s="194" t="s">
        <v>1134</v>
      </c>
      <c r="E448" s="194"/>
      <c r="F448" s="193"/>
      <c r="G448" s="196"/>
      <c r="H448" s="193" t="str">
        <f t="shared" si="7"/>
        <v xml:space="preserve">E593  </v>
      </c>
    </row>
    <row r="449" spans="2:8">
      <c r="B449" s="74">
        <v>447</v>
      </c>
      <c r="C449" s="193" t="s">
        <v>1626</v>
      </c>
      <c r="D449" s="194" t="s">
        <v>1134</v>
      </c>
      <c r="E449" s="194"/>
      <c r="F449" s="193"/>
      <c r="G449" s="196"/>
      <c r="H449" s="193" t="str">
        <f t="shared" si="7"/>
        <v xml:space="preserve">E594  </v>
      </c>
    </row>
    <row r="450" spans="2:8">
      <c r="B450" s="74">
        <v>448</v>
      </c>
      <c r="C450" s="193" t="s">
        <v>1627</v>
      </c>
      <c r="D450" s="194" t="s">
        <v>1134</v>
      </c>
      <c r="E450" s="194"/>
      <c r="F450" s="193"/>
      <c r="G450" s="196"/>
      <c r="H450" s="193" t="str">
        <f t="shared" si="7"/>
        <v xml:space="preserve">E595  </v>
      </c>
    </row>
    <row r="451" spans="2:8">
      <c r="B451" s="74">
        <v>449</v>
      </c>
      <c r="C451" s="193" t="s">
        <v>1628</v>
      </c>
      <c r="D451" s="194" t="s">
        <v>1134</v>
      </c>
      <c r="E451" s="194"/>
      <c r="F451" s="193"/>
      <c r="G451" s="196"/>
      <c r="H451" s="193" t="str">
        <f t="shared" si="7"/>
        <v xml:space="preserve">E596  </v>
      </c>
    </row>
    <row r="452" spans="2:8">
      <c r="B452" s="74">
        <v>450</v>
      </c>
      <c r="C452" s="193" t="s">
        <v>1629</v>
      </c>
      <c r="D452" s="194" t="s">
        <v>1134</v>
      </c>
      <c r="E452" s="194"/>
      <c r="F452" s="193"/>
      <c r="G452" s="196"/>
      <c r="H452" s="193" t="str">
        <f t="shared" si="7"/>
        <v xml:space="preserve">E597  </v>
      </c>
    </row>
    <row r="453" spans="2:8">
      <c r="B453" s="74">
        <v>451</v>
      </c>
      <c r="C453" s="193" t="s">
        <v>1630</v>
      </c>
      <c r="D453" s="194" t="s">
        <v>1134</v>
      </c>
      <c r="E453" s="194"/>
      <c r="F453" s="193"/>
      <c r="G453" s="196"/>
      <c r="H453" s="193" t="str">
        <f t="shared" si="7"/>
        <v xml:space="preserve">E598  </v>
      </c>
    </row>
    <row r="454" spans="2:8">
      <c r="B454" s="74">
        <v>452</v>
      </c>
      <c r="C454" s="193" t="s">
        <v>1631</v>
      </c>
      <c r="D454" s="194" t="s">
        <v>1134</v>
      </c>
      <c r="E454" s="194"/>
      <c r="F454" s="193"/>
      <c r="G454" s="196"/>
      <c r="H454" s="193" t="str">
        <f t="shared" si="7"/>
        <v xml:space="preserve">E599  </v>
      </c>
    </row>
    <row r="455" spans="2:8">
      <c r="B455" s="74">
        <v>453</v>
      </c>
      <c r="C455" s="193" t="s">
        <v>1632</v>
      </c>
      <c r="D455" s="194" t="s">
        <v>1134</v>
      </c>
      <c r="E455" s="194"/>
      <c r="F455" s="193"/>
      <c r="G455" s="196"/>
      <c r="H455" s="193" t="str">
        <f t="shared" si="7"/>
        <v xml:space="preserve">E600  </v>
      </c>
    </row>
    <row r="456" spans="2:8">
      <c r="B456" s="74">
        <v>454</v>
      </c>
      <c r="C456" s="193" t="s">
        <v>1633</v>
      </c>
      <c r="D456" s="194" t="s">
        <v>1134</v>
      </c>
      <c r="F456" s="193"/>
      <c r="G456" s="196"/>
      <c r="H456" s="193" t="str">
        <f t="shared" si="7"/>
        <v xml:space="preserve">E601  </v>
      </c>
    </row>
    <row r="457" spans="2:8">
      <c r="B457" s="74">
        <v>455</v>
      </c>
      <c r="C457" s="193" t="s">
        <v>1634</v>
      </c>
      <c r="D457" s="194" t="s">
        <v>1134</v>
      </c>
      <c r="F457" s="193"/>
      <c r="G457" s="196"/>
      <c r="H457" s="193" t="str">
        <f t="shared" si="7"/>
        <v xml:space="preserve">E602  </v>
      </c>
    </row>
    <row r="458" spans="2:8">
      <c r="B458" s="74">
        <v>456</v>
      </c>
      <c r="C458" s="193" t="s">
        <v>1635</v>
      </c>
      <c r="D458" s="194" t="s">
        <v>1134</v>
      </c>
      <c r="F458" s="193"/>
      <c r="G458" s="196"/>
      <c r="H458" s="193" t="str">
        <f t="shared" si="7"/>
        <v xml:space="preserve">E603  </v>
      </c>
    </row>
    <row r="459" spans="2:8">
      <c r="B459" s="74">
        <v>457</v>
      </c>
      <c r="C459" s="193" t="s">
        <v>1636</v>
      </c>
      <c r="D459" s="194" t="s">
        <v>1134</v>
      </c>
      <c r="F459" s="193"/>
      <c r="G459" s="196"/>
      <c r="H459" s="193" t="str">
        <f t="shared" si="7"/>
        <v xml:space="preserve">E604  </v>
      </c>
    </row>
    <row r="460" spans="2:8">
      <c r="B460" s="74">
        <v>458</v>
      </c>
      <c r="C460" s="193" t="s">
        <v>1637</v>
      </c>
      <c r="D460" s="194" t="s">
        <v>1134</v>
      </c>
      <c r="F460" s="193"/>
      <c r="G460" s="196"/>
      <c r="H460" s="193" t="str">
        <f t="shared" si="7"/>
        <v xml:space="preserve">E605  </v>
      </c>
    </row>
    <row r="461" spans="2:8">
      <c r="B461" s="74">
        <v>459</v>
      </c>
      <c r="C461" s="193" t="s">
        <v>1638</v>
      </c>
      <c r="D461" s="194" t="s">
        <v>1134</v>
      </c>
      <c r="F461" s="193"/>
      <c r="G461" s="196"/>
      <c r="H461" s="193" t="str">
        <f t="shared" si="7"/>
        <v xml:space="preserve">E606  </v>
      </c>
    </row>
    <row r="462" spans="2:8">
      <c r="B462" s="74">
        <v>460</v>
      </c>
      <c r="C462" s="193" t="s">
        <v>1639</v>
      </c>
      <c r="D462" s="194" t="s">
        <v>1134</v>
      </c>
      <c r="F462" s="193"/>
      <c r="G462" s="196"/>
      <c r="H462" s="193" t="str">
        <f t="shared" si="7"/>
        <v xml:space="preserve">E607  </v>
      </c>
    </row>
    <row r="463" spans="2:8">
      <c r="B463" s="74">
        <v>461</v>
      </c>
      <c r="C463" s="193" t="s">
        <v>1640</v>
      </c>
      <c r="D463" s="194" t="s">
        <v>1134</v>
      </c>
      <c r="F463" s="193"/>
      <c r="G463" s="196"/>
      <c r="H463" s="193" t="str">
        <f t="shared" si="7"/>
        <v xml:space="preserve">E608  </v>
      </c>
    </row>
    <row r="464" spans="2:8">
      <c r="F464" s="193"/>
      <c r="G464" s="196"/>
      <c r="H464" s="193" t="str">
        <f t="shared" si="7"/>
        <v/>
      </c>
    </row>
    <row r="465" spans="6:8">
      <c r="F465" s="193"/>
      <c r="G465" s="196"/>
      <c r="H465" s="193" t="str">
        <f t="shared" si="7"/>
        <v/>
      </c>
    </row>
    <row r="466" spans="6:8">
      <c r="F466" s="193"/>
      <c r="G466" s="196"/>
      <c r="H466" s="193" t="str">
        <f t="shared" si="7"/>
        <v/>
      </c>
    </row>
    <row r="467" spans="6:8">
      <c r="F467" s="193"/>
      <c r="G467" s="196"/>
      <c r="H467" s="193" t="str">
        <f t="shared" si="7"/>
        <v/>
      </c>
    </row>
    <row r="468" spans="6:8">
      <c r="F468" s="193"/>
      <c r="G468" s="196"/>
    </row>
    <row r="469" spans="6:8">
      <c r="F469" s="193"/>
    </row>
  </sheetData>
  <mergeCells count="2">
    <mergeCell ref="B1:H1"/>
    <mergeCell ref="B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12:J23"/>
  <sheetViews>
    <sheetView workbookViewId="0">
      <selection activeCell="J12" sqref="J12:J23"/>
    </sheetView>
  </sheetViews>
  <sheetFormatPr defaultRowHeight="15"/>
  <sheetData>
    <row r="12" spans="10:10">
      <c r="J12" t="s">
        <v>206</v>
      </c>
    </row>
    <row r="13" spans="10:10">
      <c r="J13" t="s">
        <v>216</v>
      </c>
    </row>
    <row r="14" spans="10:10">
      <c r="J14" t="s">
        <v>223</v>
      </c>
    </row>
    <row r="15" spans="10:10">
      <c r="J15" t="s">
        <v>230</v>
      </c>
    </row>
    <row r="16" spans="10:10">
      <c r="J16" t="s">
        <v>237</v>
      </c>
    </row>
    <row r="17" spans="10:10">
      <c r="J17" t="s">
        <v>243</v>
      </c>
    </row>
    <row r="18" spans="10:10">
      <c r="J18" t="s">
        <v>247</v>
      </c>
    </row>
    <row r="19" spans="10:10">
      <c r="J19" t="s">
        <v>251</v>
      </c>
    </row>
    <row r="20" spans="10:10">
      <c r="J20" t="s">
        <v>258</v>
      </c>
    </row>
    <row r="21" spans="10:10">
      <c r="J21" t="s">
        <v>264</v>
      </c>
    </row>
    <row r="22" spans="10:10">
      <c r="J22" t="s">
        <v>270</v>
      </c>
    </row>
    <row r="23" spans="10:10">
      <c r="J23" t="s">
        <v>275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26A8EEA76B0340B604C7B5B33577E2" ma:contentTypeVersion="42" ma:contentTypeDescription="Create a new document." ma:contentTypeScope="" ma:versionID="9734ce79556a5a3c4c6f06256cce7e34">
  <xsd:schema xmlns:xsd="http://www.w3.org/2001/XMLSchema" xmlns:xs="http://www.w3.org/2001/XMLSchema" xmlns:p="http://schemas.microsoft.com/office/2006/metadata/properties" xmlns:ns2="47f6e1fc-dcb1-4ba4-8ad1-1e1d62b54b62" xmlns:ns3="665f15e7-1b0f-4092-a63c-ca1fb04719ab" targetNamespace="http://schemas.microsoft.com/office/2006/metadata/properties" ma:root="true" ma:fieldsID="d1500fa3d5810c4608ab15a6d690cab3" ns2:_="" ns3:_="">
    <xsd:import namespace="47f6e1fc-dcb1-4ba4-8ad1-1e1d62b54b62"/>
    <xsd:import namespace="665f15e7-1b0f-4092-a63c-ca1fb04719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f6e1fc-dcb1-4ba4-8ad1-1e1d62b54b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displayName="Image Tags_0" ma:hidden="true" ma:internalName="lcf76f155ced4ddcb4097134ff3c332f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5f15e7-1b0f-4092-a63c-ca1fb04719a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b6fd615-a0a9-4340-ae40-060ee4bc3990}" ma:internalName="TaxCatchAll" ma:showField="CatchAllData" ma:web="665f15e7-1b0f-4092-a63c-ca1fb04719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65f15e7-1b0f-4092-a63c-ca1fb04719ab" xsi:nil="true"/>
    <lcf76f155ced4ddcb4097134ff3c332f xmlns="47f6e1fc-dcb1-4ba4-8ad1-1e1d62b54b6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DA4B6C-EEA4-4DB6-A83E-8AAD81C1EF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f6e1fc-dcb1-4ba4-8ad1-1e1d62b54b62"/>
    <ds:schemaRef ds:uri="665f15e7-1b0f-4092-a63c-ca1fb04719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0B3B14-0448-4189-9142-43D1B0784299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  <ds:schemaRef ds:uri="665f15e7-1b0f-4092-a63c-ca1fb04719ab"/>
    <ds:schemaRef ds:uri="http://purl.org/dc/dcmitype/"/>
    <ds:schemaRef ds:uri="47f6e1fc-dcb1-4ba4-8ad1-1e1d62b54b62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2223259-2BAA-4815-8B30-CD9D81BDBE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Electrical Load_Frame-1</vt:lpstr>
      <vt:lpstr>Electrical Load_Frame-2</vt:lpstr>
      <vt:lpstr>Network</vt:lpstr>
      <vt:lpstr>Frame-1 IO</vt:lpstr>
      <vt:lpstr>Frame-2 IO</vt:lpstr>
      <vt:lpstr>Device</vt:lpstr>
      <vt:lpstr>Alarms</vt:lpstr>
      <vt:lpstr>Sheet3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</dc:creator>
  <cp:keywords/>
  <dc:description/>
  <cp:lastModifiedBy>MI-SCADA2</cp:lastModifiedBy>
  <cp:revision/>
  <dcterms:created xsi:type="dcterms:W3CDTF">2021-01-29T04:56:09Z</dcterms:created>
  <dcterms:modified xsi:type="dcterms:W3CDTF">2025-11-22T05:34:44Z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0x0101007426A8EEA76B0340B604C7B5B33577E2</vt:lpwstr>
  </property>
</Properties>
</file>