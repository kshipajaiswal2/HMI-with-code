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I-SCADA1\Downloads\"/>
    </mc:Choice>
  </mc:AlternateContent>
  <bookViews>
    <workbookView xWindow="0" yWindow="0" windowWidth="28800" windowHeight="12315" tabRatio="711" activeTab="6"/>
  </bookViews>
  <sheets>
    <sheet name="Distribution panel 1" sheetId="37" r:id="rId1"/>
    <sheet name="Chopper Zone Load" sheetId="29" r:id="rId2"/>
    <sheet name="Dryer Zone Load" sheetId="31" r:id="rId3"/>
    <sheet name="Packing Zone Load" sheetId="32" r:id="rId4"/>
    <sheet name="Chopper IO List" sheetId="36" r:id="rId5"/>
    <sheet name="Dryer IO List" sheetId="2" r:id="rId6"/>
    <sheet name="Packing IO List" sheetId="35" r:id="rId7"/>
    <sheet name="Network" sheetId="6" r:id="rId8"/>
    <sheet name="Drive" sheetId="33" r:id="rId9"/>
  </sheets>
  <definedNames>
    <definedName name="_xlnm._FilterDatabase" localSheetId="4" hidden="1">'Chopper IO List'!$D$5:$Q$62</definedName>
    <definedName name="_xlnm._FilterDatabase" localSheetId="8" hidden="1">Drive!$C$1:$F$25</definedName>
    <definedName name="_xlnm._FilterDatabase" localSheetId="5" hidden="1">'Dryer IO List'!$D$5:$Q$60</definedName>
    <definedName name="_xlnm._FilterDatabase" localSheetId="6" hidden="1">'Packing IO List'!$D$5:$Q$110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36" l="1"/>
  <c r="G42" i="36"/>
  <c r="G39" i="36"/>
  <c r="G70" i="36" l="1"/>
  <c r="G69" i="36"/>
  <c r="G68" i="36"/>
  <c r="G67" i="36"/>
  <c r="G66" i="36"/>
  <c r="G65" i="36"/>
  <c r="G64" i="36"/>
  <c r="O39" i="36" l="1"/>
  <c r="O40" i="36"/>
  <c r="O41" i="36"/>
  <c r="O42" i="36"/>
  <c r="O43" i="36"/>
  <c r="O44" i="36"/>
  <c r="O45" i="36"/>
  <c r="O46" i="36"/>
  <c r="G38" i="36"/>
  <c r="G40" i="36"/>
  <c r="G41" i="36"/>
  <c r="G43" i="36"/>
  <c r="G44" i="36"/>
  <c r="G45" i="36"/>
  <c r="G46" i="36"/>
  <c r="G47" i="36"/>
  <c r="G48" i="36"/>
  <c r="G49" i="36"/>
  <c r="G50" i="36"/>
  <c r="G51" i="36"/>
  <c r="G52" i="36"/>
  <c r="G53" i="36"/>
  <c r="G54" i="36"/>
  <c r="G55" i="36"/>
  <c r="G56" i="36"/>
  <c r="G57" i="36"/>
  <c r="G58" i="36"/>
  <c r="G59" i="36"/>
  <c r="G60" i="36"/>
  <c r="G61" i="36"/>
  <c r="G62" i="36"/>
  <c r="H13" i="37" l="1"/>
  <c r="J13" i="37" s="1"/>
  <c r="H12" i="37"/>
  <c r="J12" i="37" s="1"/>
  <c r="J19" i="37"/>
  <c r="G19" i="37"/>
  <c r="H19" i="37" s="1"/>
  <c r="K23" i="32"/>
  <c r="H16" i="31"/>
  <c r="J16" i="31" s="1"/>
  <c r="I16" i="31"/>
  <c r="H17" i="31"/>
  <c r="I17" i="31" s="1"/>
  <c r="K18" i="29"/>
  <c r="J17" i="31" l="1"/>
  <c r="I13" i="37"/>
  <c r="I12" i="37"/>
  <c r="J21" i="37"/>
  <c r="G21" i="37"/>
  <c r="I19" i="37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I21" i="37" l="1"/>
  <c r="H21" i="37"/>
  <c r="O38" i="36"/>
  <c r="O37" i="36"/>
  <c r="G37" i="36"/>
  <c r="O36" i="36"/>
  <c r="G36" i="36"/>
  <c r="O35" i="36"/>
  <c r="G35" i="36"/>
  <c r="O34" i="36"/>
  <c r="G34" i="36"/>
  <c r="O33" i="36"/>
  <c r="G33" i="36"/>
  <c r="O32" i="36"/>
  <c r="G32" i="36"/>
  <c r="O31" i="36"/>
  <c r="G31" i="36"/>
  <c r="O30" i="36"/>
  <c r="G30" i="36"/>
  <c r="O29" i="36"/>
  <c r="G29" i="36"/>
  <c r="O28" i="36"/>
  <c r="G28" i="36"/>
  <c r="O27" i="36"/>
  <c r="G27" i="36"/>
  <c r="O26" i="36"/>
  <c r="G26" i="36"/>
  <c r="O25" i="36"/>
  <c r="G25" i="36"/>
  <c r="O24" i="36"/>
  <c r="G24" i="36"/>
  <c r="O23" i="36"/>
  <c r="G23" i="36"/>
  <c r="O22" i="36"/>
  <c r="G22" i="36"/>
  <c r="O21" i="36"/>
  <c r="G21" i="36"/>
  <c r="O20" i="36"/>
  <c r="G20" i="36"/>
  <c r="O19" i="36"/>
  <c r="G19" i="36"/>
  <c r="O18" i="36"/>
  <c r="G18" i="36"/>
  <c r="O17" i="36"/>
  <c r="G17" i="36"/>
  <c r="O16" i="36"/>
  <c r="G16" i="36"/>
  <c r="O15" i="36"/>
  <c r="G15" i="36"/>
  <c r="O14" i="36"/>
  <c r="G14" i="36"/>
  <c r="O13" i="36"/>
  <c r="G13" i="36"/>
  <c r="O12" i="36"/>
  <c r="G12" i="36"/>
  <c r="O11" i="36"/>
  <c r="G11" i="36"/>
  <c r="O10" i="36"/>
  <c r="G10" i="36"/>
  <c r="O9" i="36"/>
  <c r="G9" i="36"/>
  <c r="O8" i="36"/>
  <c r="G8" i="36"/>
  <c r="O7" i="36"/>
  <c r="G7" i="36"/>
  <c r="O50" i="2"/>
  <c r="O49" i="2"/>
  <c r="O47" i="35"/>
  <c r="O48" i="35"/>
  <c r="O49" i="35"/>
  <c r="O50" i="35"/>
  <c r="O51" i="35"/>
  <c r="O52" i="35"/>
  <c r="O53" i="35"/>
  <c r="O54" i="35"/>
  <c r="G19" i="35"/>
  <c r="G20" i="35"/>
  <c r="G21" i="35"/>
  <c r="G22" i="35"/>
  <c r="G23" i="35"/>
  <c r="O15" i="35"/>
  <c r="O16" i="35"/>
  <c r="O17" i="35"/>
  <c r="O18" i="35"/>
  <c r="O19" i="35"/>
  <c r="O20" i="35"/>
  <c r="O21" i="35"/>
  <c r="O22" i="35"/>
  <c r="O23" i="35"/>
  <c r="O24" i="35"/>
  <c r="O25" i="35"/>
  <c r="O26" i="35"/>
  <c r="O27" i="35"/>
  <c r="O28" i="35"/>
  <c r="O29" i="35"/>
  <c r="O30" i="35"/>
  <c r="O31" i="35"/>
  <c r="O32" i="35"/>
  <c r="O33" i="35"/>
  <c r="O34" i="35"/>
  <c r="O35" i="35"/>
  <c r="O36" i="35"/>
  <c r="O37" i="35"/>
  <c r="O38" i="35"/>
  <c r="O39" i="35"/>
  <c r="O40" i="35"/>
  <c r="O41" i="35"/>
  <c r="O42" i="35"/>
  <c r="O43" i="35"/>
  <c r="O44" i="35"/>
  <c r="O45" i="35"/>
  <c r="O46" i="35"/>
  <c r="G15" i="35"/>
  <c r="G16" i="35"/>
  <c r="G17" i="35"/>
  <c r="G18" i="35"/>
  <c r="G24" i="35"/>
  <c r="G25" i="35"/>
  <c r="G26" i="35"/>
  <c r="G27" i="35"/>
  <c r="G28" i="35"/>
  <c r="G29" i="35"/>
  <c r="G30" i="35"/>
  <c r="G31" i="35"/>
  <c r="G110" i="35"/>
  <c r="G109" i="35"/>
  <c r="G108" i="35"/>
  <c r="G107" i="35"/>
  <c r="G106" i="35"/>
  <c r="G105" i="35"/>
  <c r="O14" i="35"/>
  <c r="G14" i="35"/>
  <c r="O13" i="35"/>
  <c r="G13" i="35"/>
  <c r="O12" i="35"/>
  <c r="G12" i="35"/>
  <c r="O11" i="35"/>
  <c r="G11" i="35"/>
  <c r="O10" i="35"/>
  <c r="G10" i="35"/>
  <c r="O9" i="35"/>
  <c r="G9" i="35"/>
  <c r="O8" i="35"/>
  <c r="G8" i="35"/>
  <c r="O7" i="35"/>
  <c r="G7" i="35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9" i="2"/>
  <c r="G50" i="2"/>
  <c r="G51" i="2"/>
  <c r="G52" i="2"/>
  <c r="G53" i="2"/>
  <c r="G54" i="2"/>
  <c r="G55" i="2"/>
  <c r="G56" i="2"/>
  <c r="G57" i="2"/>
  <c r="G58" i="2"/>
  <c r="G59" i="2"/>
  <c r="G60" i="2"/>
  <c r="G20" i="31" l="1"/>
  <c r="G18" i="29"/>
  <c r="O14" i="2" l="1"/>
  <c r="O13" i="2"/>
  <c r="O12" i="2"/>
  <c r="O11" i="2"/>
  <c r="O10" i="2"/>
  <c r="O9" i="2"/>
  <c r="O8" i="2"/>
  <c r="O7" i="2"/>
  <c r="G23" i="32"/>
  <c r="H22" i="32"/>
  <c r="J22" i="32" s="1"/>
  <c r="I22" i="32" l="1"/>
  <c r="H16" i="32" l="1"/>
  <c r="J16" i="32" s="1"/>
  <c r="H12" i="32"/>
  <c r="I12" i="32" s="1"/>
  <c r="H13" i="32"/>
  <c r="I13" i="32" s="1"/>
  <c r="J13" i="32" l="1"/>
  <c r="J12" i="32"/>
  <c r="I16" i="32"/>
  <c r="H19" i="32"/>
  <c r="I19" i="32" s="1"/>
  <c r="H20" i="32"/>
  <c r="I20" i="32" s="1"/>
  <c r="H21" i="32"/>
  <c r="I21" i="32" s="1"/>
  <c r="H14" i="32"/>
  <c r="I14" i="32"/>
  <c r="J14" i="32"/>
  <c r="H15" i="32"/>
  <c r="I15" i="32" s="1"/>
  <c r="H17" i="32"/>
  <c r="I17" i="32"/>
  <c r="J17" i="32"/>
  <c r="H18" i="32"/>
  <c r="J18" i="32" s="1"/>
  <c r="J30" i="32"/>
  <c r="G30" i="32"/>
  <c r="J28" i="32"/>
  <c r="G28" i="32"/>
  <c r="H28" i="32" s="1"/>
  <c r="I28" i="32" s="1"/>
  <c r="J26" i="32"/>
  <c r="G26" i="32"/>
  <c r="K26" i="32" s="1"/>
  <c r="H11" i="32"/>
  <c r="J23" i="31"/>
  <c r="G23" i="31"/>
  <c r="K23" i="31" s="1"/>
  <c r="K20" i="31"/>
  <c r="H19" i="31"/>
  <c r="J19" i="31" s="1"/>
  <c r="H18" i="31"/>
  <c r="J18" i="31" s="1"/>
  <c r="H15" i="31"/>
  <c r="J15" i="31" s="1"/>
  <c r="H14" i="31"/>
  <c r="J14" i="31" s="1"/>
  <c r="H13" i="31"/>
  <c r="J13" i="31" s="1"/>
  <c r="H12" i="31"/>
  <c r="J12" i="31" s="1"/>
  <c r="H11" i="31"/>
  <c r="H12" i="29"/>
  <c r="I12" i="29" s="1"/>
  <c r="H13" i="29"/>
  <c r="H14" i="29"/>
  <c r="I14" i="29" s="1"/>
  <c r="H15" i="29"/>
  <c r="H16" i="29"/>
  <c r="H17" i="29"/>
  <c r="J17" i="29" s="1"/>
  <c r="I16" i="29" l="1"/>
  <c r="J16" i="29"/>
  <c r="I15" i="29"/>
  <c r="J15" i="29"/>
  <c r="I17" i="29"/>
  <c r="I11" i="32"/>
  <c r="H23" i="32"/>
  <c r="H20" i="31"/>
  <c r="I13" i="29"/>
  <c r="J13" i="29"/>
  <c r="J19" i="32"/>
  <c r="I18" i="32"/>
  <c r="J20" i="32"/>
  <c r="J25" i="31"/>
  <c r="J26" i="31" s="1"/>
  <c r="G25" i="31"/>
  <c r="G26" i="31" s="1"/>
  <c r="G27" i="31" s="1"/>
  <c r="G14" i="37" s="1"/>
  <c r="J21" i="32"/>
  <c r="J15" i="32"/>
  <c r="J32" i="32"/>
  <c r="J33" i="32" s="1"/>
  <c r="K28" i="32"/>
  <c r="G32" i="32"/>
  <c r="G33" i="32" s="1"/>
  <c r="G34" i="32" s="1"/>
  <c r="G15" i="37" s="1"/>
  <c r="H30" i="32"/>
  <c r="I30" i="32" s="1"/>
  <c r="J11" i="32"/>
  <c r="K30" i="32"/>
  <c r="H26" i="32"/>
  <c r="I18" i="31"/>
  <c r="I19" i="31"/>
  <c r="I11" i="31"/>
  <c r="J11" i="31"/>
  <c r="J20" i="31" s="1"/>
  <c r="I12" i="31"/>
  <c r="I13" i="31"/>
  <c r="I14" i="31"/>
  <c r="H23" i="31"/>
  <c r="I15" i="31"/>
  <c r="J14" i="29"/>
  <c r="J12" i="29"/>
  <c r="J23" i="32" l="1"/>
  <c r="I23" i="32"/>
  <c r="I20" i="31"/>
  <c r="J27" i="31"/>
  <c r="J14" i="37" s="1"/>
  <c r="H32" i="32"/>
  <c r="H33" i="32" s="1"/>
  <c r="H34" i="32" s="1"/>
  <c r="H15" i="37" s="1"/>
  <c r="I26" i="32"/>
  <c r="I32" i="32" s="1"/>
  <c r="J34" i="32"/>
  <c r="J15" i="37" s="1"/>
  <c r="I23" i="31"/>
  <c r="I25" i="31" s="1"/>
  <c r="H25" i="31"/>
  <c r="O39" i="2"/>
  <c r="O40" i="2"/>
  <c r="O41" i="2"/>
  <c r="O42" i="2"/>
  <c r="O43" i="2"/>
  <c r="O44" i="2"/>
  <c r="O45" i="2"/>
  <c r="O46" i="2"/>
  <c r="I33" i="32" l="1"/>
  <c r="I34" i="32" s="1"/>
  <c r="I15" i="37" s="1"/>
  <c r="H2" i="32"/>
  <c r="H3" i="32" s="1"/>
  <c r="H6" i="32" s="1"/>
  <c r="I26" i="31"/>
  <c r="I27" i="31" s="1"/>
  <c r="I14" i="37" s="1"/>
  <c r="H2" i="31"/>
  <c r="H26" i="31"/>
  <c r="H27" i="31" s="1"/>
  <c r="H14" i="37" s="1"/>
  <c r="O29" i="2"/>
  <c r="O30" i="2"/>
  <c r="O31" i="2"/>
  <c r="O32" i="2"/>
  <c r="O33" i="2"/>
  <c r="O34" i="2"/>
  <c r="O35" i="2"/>
  <c r="O36" i="2"/>
  <c r="O37" i="2"/>
  <c r="O38" i="2"/>
  <c r="O26" i="2"/>
  <c r="O27" i="2"/>
  <c r="O28" i="2"/>
  <c r="H4" i="32" l="1"/>
  <c r="H7" i="32" s="1"/>
  <c r="H5" i="32"/>
  <c r="H5" i="31"/>
  <c r="H4" i="31"/>
  <c r="H7" i="31" s="1"/>
  <c r="H3" i="31"/>
  <c r="H6" i="31" s="1"/>
  <c r="O19" i="2" l="1"/>
  <c r="O20" i="2"/>
  <c r="O21" i="2"/>
  <c r="O22" i="2"/>
  <c r="O23" i="2"/>
  <c r="O24" i="2"/>
  <c r="O25" i="2"/>
  <c r="J21" i="29" l="1"/>
  <c r="G21" i="29"/>
  <c r="H21" i="29" s="1"/>
  <c r="K21" i="29" l="1"/>
  <c r="I21" i="29"/>
  <c r="G23" i="29" l="1"/>
  <c r="H11" i="29" l="1"/>
  <c r="I11" i="29" s="1"/>
  <c r="J11" i="29" l="1"/>
  <c r="J18" i="29" s="1"/>
  <c r="H18" i="29"/>
  <c r="I18" i="29"/>
  <c r="J23" i="29" l="1"/>
  <c r="J24" i="29" s="1"/>
  <c r="I23" i="29"/>
  <c r="H23" i="29"/>
  <c r="G24" i="29"/>
  <c r="G25" i="29" s="1"/>
  <c r="G11" i="37" s="1"/>
  <c r="G16" i="37" s="1"/>
  <c r="G22" i="37" s="1"/>
  <c r="G23" i="37" s="1"/>
  <c r="J25" i="29" l="1"/>
  <c r="J11" i="37" s="1"/>
  <c r="J16" i="37" s="1"/>
  <c r="J22" i="37" s="1"/>
  <c r="J23" i="37" s="1"/>
  <c r="I24" i="29"/>
  <c r="I25" i="29" s="1"/>
  <c r="I11" i="37" s="1"/>
  <c r="I16" i="37" s="1"/>
  <c r="I22" i="37" s="1"/>
  <c r="I23" i="37" s="1"/>
  <c r="H2" i="29"/>
  <c r="H3" i="29" s="1"/>
  <c r="H6" i="29" s="1"/>
  <c r="H24" i="29"/>
  <c r="H25" i="29" s="1"/>
  <c r="H11" i="37" s="1"/>
  <c r="H16" i="37" s="1"/>
  <c r="H2" i="37" l="1"/>
  <c r="H22" i="37"/>
  <c r="H23" i="37" s="1"/>
  <c r="H5" i="29"/>
  <c r="H4" i="29"/>
  <c r="H7" i="29" s="1"/>
  <c r="H4" i="37" l="1"/>
  <c r="H7" i="37" s="1"/>
  <c r="H5" i="37"/>
  <c r="H3" i="37"/>
  <c r="H6" i="37" s="1"/>
  <c r="O16" i="2"/>
  <c r="O17" i="2"/>
  <c r="O18" i="2"/>
  <c r="O15" i="2"/>
</calcChain>
</file>

<file path=xl/sharedStrings.xml><?xml version="1.0" encoding="utf-8"?>
<sst xmlns="http://schemas.openxmlformats.org/spreadsheetml/2006/main" count="1987" uniqueCount="961">
  <si>
    <t>Efficiency</t>
  </si>
  <si>
    <t>CYBERNETIK</t>
  </si>
  <si>
    <t>Power Factor</t>
  </si>
  <si>
    <t>Total KW</t>
  </si>
  <si>
    <t>Line to Line Voltage</t>
  </si>
  <si>
    <t>Total HP</t>
  </si>
  <si>
    <t>Single Phase voltage</t>
  </si>
  <si>
    <t>Total Amp</t>
  </si>
  <si>
    <t>KW to HP Conversion</t>
  </si>
  <si>
    <t>Design Total KW</t>
  </si>
  <si>
    <t>Design Factor</t>
  </si>
  <si>
    <t>Design Total HP</t>
  </si>
  <si>
    <t>KVA to KW Conversion</t>
  </si>
  <si>
    <t>Design Total Amp</t>
  </si>
  <si>
    <t>CYBERNETIK MACHINE</t>
  </si>
  <si>
    <t>Zone</t>
  </si>
  <si>
    <t>Sr. No</t>
  </si>
  <si>
    <t>Device</t>
  </si>
  <si>
    <t>Name</t>
  </si>
  <si>
    <t>DOL/VFD/Thyrister</t>
  </si>
  <si>
    <t>KW</t>
  </si>
  <si>
    <t>Total (KW)</t>
  </si>
  <si>
    <t>HP</t>
  </si>
  <si>
    <t>Amp</t>
  </si>
  <si>
    <t>System</t>
  </si>
  <si>
    <t>Chopper Panel</t>
  </si>
  <si>
    <t>CP01</t>
  </si>
  <si>
    <t>MCCB</t>
  </si>
  <si>
    <t>Chopper Panel feeder-1</t>
  </si>
  <si>
    <t>CPF01</t>
  </si>
  <si>
    <t>Chopper Panel feeder-2</t>
  </si>
  <si>
    <t>CPF02</t>
  </si>
  <si>
    <t>Dryer panel</t>
  </si>
  <si>
    <t>DRP01</t>
  </si>
  <si>
    <t>Packing panel</t>
  </si>
  <si>
    <t>PKP01</t>
  </si>
  <si>
    <t>Total</t>
  </si>
  <si>
    <t>Transformer Load</t>
  </si>
  <si>
    <t>KVA</t>
  </si>
  <si>
    <t>P Amp</t>
  </si>
  <si>
    <t>Control</t>
  </si>
  <si>
    <t>Transformer-1 (230VAC)</t>
  </si>
  <si>
    <t>TR-1</t>
  </si>
  <si>
    <t>(Utility)</t>
  </si>
  <si>
    <t>Total Connected</t>
  </si>
  <si>
    <t>Total Designed(1.23)</t>
  </si>
  <si>
    <t>Drive amp</t>
  </si>
  <si>
    <t>Motor KW</t>
  </si>
  <si>
    <t>Chopper Motor-1</t>
  </si>
  <si>
    <t>CM001</t>
  </si>
  <si>
    <t>VFD</t>
  </si>
  <si>
    <t>Chopper Motor-2</t>
  </si>
  <si>
    <t>CM002</t>
  </si>
  <si>
    <t>Anti-Static Coating Roller</t>
  </si>
  <si>
    <t>ASCR001</t>
  </si>
  <si>
    <t>Spreader Motor-2</t>
  </si>
  <si>
    <t>SM001</t>
  </si>
  <si>
    <t>Feeders-1 (In Future Scope with DOL)</t>
  </si>
  <si>
    <t>-</t>
  </si>
  <si>
    <t xml:space="preserve">DOL </t>
  </si>
  <si>
    <t>Feeders-2 (In Future Scope with DOL)</t>
  </si>
  <si>
    <t>Feeders-3 (In Future Scope with DOL)</t>
  </si>
  <si>
    <t>S Amp</t>
  </si>
  <si>
    <t>(PLC, HMI, I/O)</t>
  </si>
  <si>
    <t>Total Designed(1.25)</t>
  </si>
  <si>
    <t>2 Nodes</t>
  </si>
  <si>
    <t>Dryer Heating Zone Inlet Blower</t>
  </si>
  <si>
    <t>DHIB01</t>
  </si>
  <si>
    <t>Dryer Heating Zone Dust Collector</t>
  </si>
  <si>
    <t>DHDC01</t>
  </si>
  <si>
    <t>Dryer Cooling Zone Inlet Blower</t>
  </si>
  <si>
    <t>DCIB01</t>
  </si>
  <si>
    <t>Dryer Cooling Zone Dust Collector</t>
  </si>
  <si>
    <t>DCDC01</t>
  </si>
  <si>
    <t>Dryer Conveyor Motor</t>
  </si>
  <si>
    <t>DCM01</t>
  </si>
  <si>
    <t>Dryer Outlet Vibratory feeder-1</t>
  </si>
  <si>
    <t>DOVF01</t>
  </si>
  <si>
    <t>Dryer Outlet Vibratory feeder-2</t>
  </si>
  <si>
    <t>DOVF02</t>
  </si>
  <si>
    <t>Brush Roller Motor-1</t>
  </si>
  <si>
    <t>BRM01</t>
  </si>
  <si>
    <t>Brush Roller Motor-2</t>
  </si>
  <si>
    <t>BRM02</t>
  </si>
  <si>
    <t>Incliend Belt conveyor</t>
  </si>
  <si>
    <t>IBC001</t>
  </si>
  <si>
    <t>Material Storage Vibro-1</t>
  </si>
  <si>
    <t>MSV01</t>
  </si>
  <si>
    <t>Material Storage Vibro-2</t>
  </si>
  <si>
    <t>MSV02</t>
  </si>
  <si>
    <t>Bag Filling Conveyor</t>
  </si>
  <si>
    <t>BFC01</t>
  </si>
  <si>
    <t>Bag Sealing &amp; Stiching Conveyor</t>
  </si>
  <si>
    <t>BSSC01</t>
  </si>
  <si>
    <t>Bag Stitching Motor</t>
  </si>
  <si>
    <t>BSTM01</t>
  </si>
  <si>
    <t>DOL</t>
  </si>
  <si>
    <t>Bag Tilting Conveyor</t>
  </si>
  <si>
    <t>BTC01</t>
  </si>
  <si>
    <t>Bag Flattening Bottom Conveyor</t>
  </si>
  <si>
    <t>BFBC01</t>
  </si>
  <si>
    <t>Bag Flattening Top Conveyor</t>
  </si>
  <si>
    <t>BFTC01</t>
  </si>
  <si>
    <t>Metal Detector Conveyor</t>
  </si>
  <si>
    <t>MDC01</t>
  </si>
  <si>
    <t>Bag Rejection Conveyor</t>
  </si>
  <si>
    <t>BRC01</t>
  </si>
  <si>
    <t>Bagging Zone Dust Collector</t>
  </si>
  <si>
    <t>BDCB01</t>
  </si>
  <si>
    <t>Transformer-2 (230VAC)</t>
  </si>
  <si>
    <t>TR-2</t>
  </si>
  <si>
    <t>Metal Detector (0.5KW)</t>
  </si>
  <si>
    <t>Sealing Station (0.75KW)</t>
  </si>
  <si>
    <t>Electro Magnetic Vibro-1 and 2 (0.75X2=1.5KW)</t>
  </si>
  <si>
    <t>DI</t>
  </si>
  <si>
    <t>DO</t>
  </si>
  <si>
    <t>Sl No</t>
  </si>
  <si>
    <t>Input Type</t>
  </si>
  <si>
    <t>Location</t>
  </si>
  <si>
    <t>Address</t>
  </si>
  <si>
    <t>Input Description</t>
  </si>
  <si>
    <t>Input Tags</t>
  </si>
  <si>
    <t>TAG</t>
  </si>
  <si>
    <t>Output Type</t>
  </si>
  <si>
    <t>Output Description</t>
  </si>
  <si>
    <t>Output Tags</t>
  </si>
  <si>
    <t>DIGITAL INPUT</t>
  </si>
  <si>
    <t>DIGITAL OUTPUT</t>
  </si>
  <si>
    <t>SDI01</t>
  </si>
  <si>
    <t>RC:I:1.0</t>
  </si>
  <si>
    <t>_</t>
  </si>
  <si>
    <t>Chopper-1 E-Stop 1/1</t>
  </si>
  <si>
    <t>E-Stop Button</t>
  </si>
  <si>
    <t>SDO01</t>
  </si>
  <si>
    <t>RC:O:2.0</t>
  </si>
  <si>
    <t>Chopper Safety Healhy 1/1</t>
  </si>
  <si>
    <t>Safety Relay (STO)</t>
  </si>
  <si>
    <t>SDI02</t>
  </si>
  <si>
    <t>RC:I:1.1</t>
  </si>
  <si>
    <t>Chopper-1 E-Stop 1/2</t>
  </si>
  <si>
    <t>SDO02</t>
  </si>
  <si>
    <t>RC:O:2.1</t>
  </si>
  <si>
    <t>Chopper Safety Healhy 1/2</t>
  </si>
  <si>
    <t>SDI03</t>
  </si>
  <si>
    <t>RC:I:1.2</t>
  </si>
  <si>
    <t>Chopper-2 E-Stop 1/1</t>
  </si>
  <si>
    <t>SDO03</t>
  </si>
  <si>
    <t>RC:O:2.2</t>
  </si>
  <si>
    <t xml:space="preserve">Spare </t>
  </si>
  <si>
    <t>SDI04</t>
  </si>
  <si>
    <t>RC:I:1.3</t>
  </si>
  <si>
    <t>Chopper-2 E-Stop 1/2</t>
  </si>
  <si>
    <t>SDO04</t>
  </si>
  <si>
    <t>RC:O:2.3</t>
  </si>
  <si>
    <t>SDI05</t>
  </si>
  <si>
    <t>RC:I:1.4</t>
  </si>
  <si>
    <t>Spreader E-Stop 1/1</t>
  </si>
  <si>
    <t>SDO05</t>
  </si>
  <si>
    <t>RC:O:2.4</t>
  </si>
  <si>
    <t>SDI06</t>
  </si>
  <si>
    <t>RC:I:1.5</t>
  </si>
  <si>
    <t>Spreader  E-Stop 1/2</t>
  </si>
  <si>
    <t>SDO06</t>
  </si>
  <si>
    <t>RC:O:2.5</t>
  </si>
  <si>
    <t>SDI07</t>
  </si>
  <si>
    <t>RC:I:1.6</t>
  </si>
  <si>
    <t>Applicator E-Stop 1/1</t>
  </si>
  <si>
    <t>SDO07</t>
  </si>
  <si>
    <t>RC:O:2.6</t>
  </si>
  <si>
    <t>Air Relief Valve1/1</t>
  </si>
  <si>
    <t>SDI08</t>
  </si>
  <si>
    <t>RC:I:1.7</t>
  </si>
  <si>
    <t>Applicator E-Stop 1/2</t>
  </si>
  <si>
    <t>SDO08</t>
  </si>
  <si>
    <t>RC:O:2.7</t>
  </si>
  <si>
    <t>Air Relief Valve1/2</t>
  </si>
  <si>
    <t>DI01</t>
  </si>
  <si>
    <t>RC:I:3.0</t>
  </si>
  <si>
    <t>System Start PB</t>
  </si>
  <si>
    <t>Push Button+Lamp</t>
  </si>
  <si>
    <t>DO01</t>
  </si>
  <si>
    <t>RC:O:10.0</t>
  </si>
  <si>
    <t xml:space="preserve">Chopper Tower Lamp Red </t>
  </si>
  <si>
    <t>Tower Lamp</t>
  </si>
  <si>
    <t>DI02</t>
  </si>
  <si>
    <t>RC:I:3.1</t>
  </si>
  <si>
    <t>System Stop PB</t>
  </si>
  <si>
    <t>Push Button</t>
  </si>
  <si>
    <t>DO02</t>
  </si>
  <si>
    <t>RC:O:10.1</t>
  </si>
  <si>
    <t>Chopper Tower Lamp Amber</t>
  </si>
  <si>
    <t>DI03</t>
  </si>
  <si>
    <t>RC:I:3.2</t>
  </si>
  <si>
    <t>System Reset PB</t>
  </si>
  <si>
    <t>DO03</t>
  </si>
  <si>
    <t>RC:O:10.2</t>
  </si>
  <si>
    <t>Chopper Tower Lamp Green</t>
  </si>
  <si>
    <t>DI04</t>
  </si>
  <si>
    <t>RC:I:3.3</t>
  </si>
  <si>
    <t>Safety Reset PB</t>
  </si>
  <si>
    <t>DO04</t>
  </si>
  <si>
    <t>RC:O:10.3</t>
  </si>
  <si>
    <t>Chopper Tower Lamp Buzzer</t>
  </si>
  <si>
    <t>DI05</t>
  </si>
  <si>
    <t>RC:I:3.4</t>
  </si>
  <si>
    <t>Spare DI</t>
  </si>
  <si>
    <t>DO05</t>
  </si>
  <si>
    <t>RC:O:10.4</t>
  </si>
  <si>
    <t>Chopper System Start PB Green Lamp</t>
  </si>
  <si>
    <t>DI06</t>
  </si>
  <si>
    <t>RC:I:3.5</t>
  </si>
  <si>
    <t>DO06</t>
  </si>
  <si>
    <t>RC:O:10.5</t>
  </si>
  <si>
    <t>Chopper System Reset PB Blue Lamp</t>
  </si>
  <si>
    <t>DI07</t>
  </si>
  <si>
    <t>RC:I:3.6</t>
  </si>
  <si>
    <t>3 Phase Supply Ok</t>
  </si>
  <si>
    <t>Phase Failure Relay</t>
  </si>
  <si>
    <t>DO07</t>
  </si>
  <si>
    <t>RC:O:10.6</t>
  </si>
  <si>
    <t>Chopper System Safety Reset PB Yellow Lamp</t>
  </si>
  <si>
    <t>DI08</t>
  </si>
  <si>
    <t>RC:I:3.7</t>
  </si>
  <si>
    <t>Chopper Air Pressure  Switch</t>
  </si>
  <si>
    <t>Air Pressure Switch</t>
  </si>
  <si>
    <t>DO08</t>
  </si>
  <si>
    <t>RC:O:10.7</t>
  </si>
  <si>
    <t>Spare DO</t>
  </si>
  <si>
    <t>DI09</t>
  </si>
  <si>
    <t>RC:I:4.0</t>
  </si>
  <si>
    <t>Chopper-1 Local/Remote SS</t>
  </si>
  <si>
    <t>Selector Switch</t>
  </si>
  <si>
    <t>DO09</t>
  </si>
  <si>
    <t>RC:O:11.0</t>
  </si>
  <si>
    <t>Chopper-1 Start PB Lamp</t>
  </si>
  <si>
    <t>DI10</t>
  </si>
  <si>
    <t>RC:I:4.1</t>
  </si>
  <si>
    <t>Chopper-1 Start PB</t>
  </si>
  <si>
    <t>DO10</t>
  </si>
  <si>
    <t>RC:O:11.1</t>
  </si>
  <si>
    <t>Chopper-1 PU Cylinder-1 Fwd SOV</t>
  </si>
  <si>
    <t>DI11</t>
  </si>
  <si>
    <t>RC:I:4.2</t>
  </si>
  <si>
    <t>Chopper-1 Stop PB</t>
  </si>
  <si>
    <t>DO11</t>
  </si>
  <si>
    <t>RC:O:11.2</t>
  </si>
  <si>
    <t>Chopper-1 PU Cylinder-1 Rev SOV</t>
  </si>
  <si>
    <t>DI12</t>
  </si>
  <si>
    <t>RC:I:4.3</t>
  </si>
  <si>
    <t>DO12</t>
  </si>
  <si>
    <t>RC:O:11.3</t>
  </si>
  <si>
    <t>Chopper-1 PU Cylinder-2 Fwd SOV</t>
  </si>
  <si>
    <t>DI13</t>
  </si>
  <si>
    <t>RC:I:4.4</t>
  </si>
  <si>
    <t>Chopper-2 Local/Remote SS</t>
  </si>
  <si>
    <t>DO13</t>
  </si>
  <si>
    <t>RC:O:11.4</t>
  </si>
  <si>
    <t>Chopper-1 PU Cylinder-2 Rev SOV</t>
  </si>
  <si>
    <t>DI14</t>
  </si>
  <si>
    <t>RC:I:4.5</t>
  </si>
  <si>
    <t>Chopper-2 Start PB</t>
  </si>
  <si>
    <t>DO14</t>
  </si>
  <si>
    <t>RC:O:11.5</t>
  </si>
  <si>
    <t>Chopper-1 Pressure Roller Cylinder Fwd SOV</t>
  </si>
  <si>
    <t>DI15</t>
  </si>
  <si>
    <t>RC:I:4.6</t>
  </si>
  <si>
    <t>Chopper-2 Stop PB</t>
  </si>
  <si>
    <t>DO15</t>
  </si>
  <si>
    <t>RC:O:11.6</t>
  </si>
  <si>
    <t>Chopper-1 Pressure Roller Cylinder Rev SOV</t>
  </si>
  <si>
    <t>DI16</t>
  </si>
  <si>
    <t>RC:I:4.7</t>
  </si>
  <si>
    <t>DO16</t>
  </si>
  <si>
    <t>RC:O:11.7</t>
  </si>
  <si>
    <t>DI17</t>
  </si>
  <si>
    <t>RC:I:5.0</t>
  </si>
  <si>
    <t>Chopper-1 PU Cylinder-1 Fwd FB</t>
  </si>
  <si>
    <t>Reed Switch</t>
  </si>
  <si>
    <t>DO17</t>
  </si>
  <si>
    <t>RC:O:12.0</t>
  </si>
  <si>
    <t>Chopper-2 Start PB Lamp</t>
  </si>
  <si>
    <t>DI18</t>
  </si>
  <si>
    <t>RC:I:5.1</t>
  </si>
  <si>
    <t>Chopper-1 PU Cylinder-1 Rev FB</t>
  </si>
  <si>
    <t>DO18</t>
  </si>
  <si>
    <t>RC:O:12.1</t>
  </si>
  <si>
    <t>Chopper-2 PU Cylinder-1 Fwd SOV</t>
  </si>
  <si>
    <t>DI19</t>
  </si>
  <si>
    <t>RC:I:5.2</t>
  </si>
  <si>
    <t>Chopper-1 PU Cylinder-2 Fwd FB</t>
  </si>
  <si>
    <t>DO19</t>
  </si>
  <si>
    <t>RC:O:12.2</t>
  </si>
  <si>
    <t>Chopper-2 PU Cylinder-1 Rev SOV</t>
  </si>
  <si>
    <t>DI20</t>
  </si>
  <si>
    <t>RC:I:5.3</t>
  </si>
  <si>
    <t>Chopper-1 PU Cylinder-2 Rev FB</t>
  </si>
  <si>
    <t>DO20</t>
  </si>
  <si>
    <t>RC:O:12.3</t>
  </si>
  <si>
    <t>Chopper-2 PU Cylinder-2 Fwd SOV</t>
  </si>
  <si>
    <t>DI21</t>
  </si>
  <si>
    <t>RC:I:5.4</t>
  </si>
  <si>
    <t>Chopper-1 Pressure Roller Cylinder Fwd FB</t>
  </si>
  <si>
    <t>DO21</t>
  </si>
  <si>
    <t>RC:O:12.4</t>
  </si>
  <si>
    <t>Chopper-2 PU Cylinder-2 Rev SOV</t>
  </si>
  <si>
    <t>DI22</t>
  </si>
  <si>
    <t>RC:I:5.5</t>
  </si>
  <si>
    <t>Chopper-1 Pressure Roller Cylinder Rev FB</t>
  </si>
  <si>
    <t>DO22</t>
  </si>
  <si>
    <t>RC:O:12.5</t>
  </si>
  <si>
    <t>Chopper-2 Pressure Roller Cylinder Fwd SOV</t>
  </si>
  <si>
    <t>DI23</t>
  </si>
  <si>
    <t>RC:I:5.6</t>
  </si>
  <si>
    <t>DO23</t>
  </si>
  <si>
    <t>RC:O:12.6</t>
  </si>
  <si>
    <t>Chopper-2 Pressure Roller Cylinder Rev SOV</t>
  </si>
  <si>
    <t>DI24</t>
  </si>
  <si>
    <t>RC:I:5.7</t>
  </si>
  <si>
    <t>DO24</t>
  </si>
  <si>
    <t>RC:O:12.7</t>
  </si>
  <si>
    <t>DI25</t>
  </si>
  <si>
    <t>RC:I:6.0</t>
  </si>
  <si>
    <t>Chopper-2 PU Cylinder-1 Fwd FB</t>
  </si>
  <si>
    <t>DO25</t>
  </si>
  <si>
    <t>RC:O:13.0</t>
  </si>
  <si>
    <t>Spreader Start PB Lamp</t>
  </si>
  <si>
    <t>DI26</t>
  </si>
  <si>
    <t>RC:I:6.1</t>
  </si>
  <si>
    <t>Chopper-2 PU Cylinder-1 Rev FB</t>
  </si>
  <si>
    <t>DO26</t>
  </si>
  <si>
    <t>RC:O:13.1</t>
  </si>
  <si>
    <t>Applicator Start PB Lamp</t>
  </si>
  <si>
    <t>DI27</t>
  </si>
  <si>
    <t>RC:I:6.2</t>
  </si>
  <si>
    <t>Chopper-2 PU Cylinder-2 Fwd FB</t>
  </si>
  <si>
    <t>DO27</t>
  </si>
  <si>
    <t>RC:O:13.2</t>
  </si>
  <si>
    <t>DI28</t>
  </si>
  <si>
    <t>RC:I:6.3</t>
  </si>
  <si>
    <t>Chopper-2 PU Cylinder-2 Rev FB</t>
  </si>
  <si>
    <t>DO28</t>
  </si>
  <si>
    <t>RC:O:13.3</t>
  </si>
  <si>
    <t>DI29</t>
  </si>
  <si>
    <t>RC:I:6.4</t>
  </si>
  <si>
    <t>Chopper-2 Pressure Roller Cylinder Fwd FB</t>
  </si>
  <si>
    <t>DO29</t>
  </si>
  <si>
    <t>RC:O:13.4</t>
  </si>
  <si>
    <t>DI30</t>
  </si>
  <si>
    <t>RC:I:6.5</t>
  </si>
  <si>
    <t>Chopper-2 Pressure Roller Cylinder Rev FB</t>
  </si>
  <si>
    <t>DO30</t>
  </si>
  <si>
    <t>RC:O:13.5</t>
  </si>
  <si>
    <t>DI31</t>
  </si>
  <si>
    <t>RC:I:6.6</t>
  </si>
  <si>
    <t>DO31</t>
  </si>
  <si>
    <t>RC:O:13.6</t>
  </si>
  <si>
    <t>DI32</t>
  </si>
  <si>
    <t>RC:I:6.7</t>
  </si>
  <si>
    <t>DO32</t>
  </si>
  <si>
    <t>RC:O:13.7</t>
  </si>
  <si>
    <t>DI33</t>
  </si>
  <si>
    <t>RC:I:7.0</t>
  </si>
  <si>
    <t>Spreader Local/Remote SS</t>
  </si>
  <si>
    <t>DI34</t>
  </si>
  <si>
    <t>RC:I:7.1</t>
  </si>
  <si>
    <t>Spreader Start PB</t>
  </si>
  <si>
    <t>DI35</t>
  </si>
  <si>
    <t>RC:I:7.2</t>
  </si>
  <si>
    <t>Spreader Stop PB</t>
  </si>
  <si>
    <t>DI36</t>
  </si>
  <si>
    <t>RC:I:7.3</t>
  </si>
  <si>
    <t>DI37</t>
  </si>
  <si>
    <t>RC:I:7.4</t>
  </si>
  <si>
    <t>DI38</t>
  </si>
  <si>
    <t>RC:I:7.5</t>
  </si>
  <si>
    <t>Applicator Local/Remote SS</t>
  </si>
  <si>
    <t>DI39</t>
  </si>
  <si>
    <t>RC:I:7.6</t>
  </si>
  <si>
    <t>Applicator Start PB</t>
  </si>
  <si>
    <t>DI40</t>
  </si>
  <si>
    <t>RC:I:7.7</t>
  </si>
  <si>
    <t>Applicator Stop PB</t>
  </si>
  <si>
    <t>DI41</t>
  </si>
  <si>
    <t>RC:I:8.0</t>
  </si>
  <si>
    <t>DI42</t>
  </si>
  <si>
    <t>RC:I:8.1</t>
  </si>
  <si>
    <t>Chopper Motor-1 MPCB Healthy</t>
  </si>
  <si>
    <t>MPCB Contact</t>
  </si>
  <si>
    <t>DI43</t>
  </si>
  <si>
    <t>RC:I:8.2</t>
  </si>
  <si>
    <t>Chopper Motor-2 MPCB Healthy</t>
  </si>
  <si>
    <t>DI44</t>
  </si>
  <si>
    <t>RC:I:8.3</t>
  </si>
  <si>
    <t>Anti-Static Coating Roller MPCB Healthy</t>
  </si>
  <si>
    <t>DI45</t>
  </si>
  <si>
    <t>RC:I:8.4</t>
  </si>
  <si>
    <t>Spreader Motor-2 MPCB Healthy</t>
  </si>
  <si>
    <t>DI46</t>
  </si>
  <si>
    <t>RC:I:8.5</t>
  </si>
  <si>
    <t>Feeders-1 MPCB Healthy</t>
  </si>
  <si>
    <t>DI47</t>
  </si>
  <si>
    <t>RC:I:8.6</t>
  </si>
  <si>
    <t>Feeders-2 MPCB Healthy</t>
  </si>
  <si>
    <t>DI48</t>
  </si>
  <si>
    <t>RC:I:8.7</t>
  </si>
  <si>
    <t>Feeders-3 MPCB Healthy</t>
  </si>
  <si>
    <t>DI49</t>
  </si>
  <si>
    <t>RC:I:9.0</t>
  </si>
  <si>
    <t>DI50</t>
  </si>
  <si>
    <t>RC:I:9.1</t>
  </si>
  <si>
    <t>Chopper Motor-1 Disconnector FB</t>
  </si>
  <si>
    <t>LDS switch</t>
  </si>
  <si>
    <t>DI51</t>
  </si>
  <si>
    <t>RC:I:9.2</t>
  </si>
  <si>
    <t>Chopper Motor-2 Disconnector FB</t>
  </si>
  <si>
    <t>DI52</t>
  </si>
  <si>
    <t>RC:I:9.3</t>
  </si>
  <si>
    <t>Anti-Static Coating Roller Disconnector FB</t>
  </si>
  <si>
    <t>DI53</t>
  </si>
  <si>
    <t>RC:I:9.4</t>
  </si>
  <si>
    <t>Spreader Motor-2 Disconnector FB</t>
  </si>
  <si>
    <t>DI54</t>
  </si>
  <si>
    <t>RC:I:9.5</t>
  </si>
  <si>
    <t>DI55</t>
  </si>
  <si>
    <t>RC:I:9.6</t>
  </si>
  <si>
    <t>DI56</t>
  </si>
  <si>
    <t>RC:I:9.7</t>
  </si>
  <si>
    <t>RD:1:I.0</t>
  </si>
  <si>
    <t>Dryer Infeed E-Stop 1/1</t>
  </si>
  <si>
    <t>RD:O:2.0</t>
  </si>
  <si>
    <t>Dryer Safety Healhy 1/1</t>
  </si>
  <si>
    <t>RD:1:I.1</t>
  </si>
  <si>
    <t>Dryer Infeed E-Stop 1/2</t>
  </si>
  <si>
    <t>RD:O:2.1</t>
  </si>
  <si>
    <t>Dryer Safety Healhy 1/2</t>
  </si>
  <si>
    <t>RD:1:I.2</t>
  </si>
  <si>
    <t>Dryer Outfeed E-Stop 1/1</t>
  </si>
  <si>
    <t>RD:O:2.2</t>
  </si>
  <si>
    <t>Spare</t>
  </si>
  <si>
    <t>RD:1:I.3</t>
  </si>
  <si>
    <t>Dryer Outfeed E-Stop 1/2</t>
  </si>
  <si>
    <t>RD:O:2.3</t>
  </si>
  <si>
    <t>RD:1:I.4</t>
  </si>
  <si>
    <t>RD:O:2.4</t>
  </si>
  <si>
    <t>RD:1:I.5</t>
  </si>
  <si>
    <t>RD:O:2.5</t>
  </si>
  <si>
    <t>RD:1:I.6</t>
  </si>
  <si>
    <t>RD:O:2.6</t>
  </si>
  <si>
    <t>RD:1:I.7</t>
  </si>
  <si>
    <t>RD:O:2.7</t>
  </si>
  <si>
    <t>RD:3:I.0</t>
  </si>
  <si>
    <t>RD:7:O.0</t>
  </si>
  <si>
    <t xml:space="preserve">Dryer Tower Lamp Red </t>
  </si>
  <si>
    <t>RD:3:I.1</t>
  </si>
  <si>
    <t>RD:7:O.1</t>
  </si>
  <si>
    <t>Dryer Tower Lamp Amber</t>
  </si>
  <si>
    <t>RD:3:I.2</t>
  </si>
  <si>
    <t>RD:7:O.2</t>
  </si>
  <si>
    <t>Dryer Tower Lamp Green</t>
  </si>
  <si>
    <t>RD:3:I.3</t>
  </si>
  <si>
    <t>RD:7:O.3</t>
  </si>
  <si>
    <t>Dryer Tower Lamp Buzzer</t>
  </si>
  <si>
    <t>RD:3:I.4</t>
  </si>
  <si>
    <t>RD:7:O.4</t>
  </si>
  <si>
    <t>Dryer System Start PB Green Lamp</t>
  </si>
  <si>
    <t>RD:3:I.5</t>
  </si>
  <si>
    <t>RD:7:O.5</t>
  </si>
  <si>
    <t>Dryer System Reset PB Blue Lamp</t>
  </si>
  <si>
    <t>RD:3:I.6</t>
  </si>
  <si>
    <t>RD:7:O.6</t>
  </si>
  <si>
    <t>Dryer System Safety Reset PB Yellow Lamp</t>
  </si>
  <si>
    <t>RD:3:I.7</t>
  </si>
  <si>
    <t xml:space="preserve">Dryer Air Pressure </t>
  </si>
  <si>
    <t>RD:7:O.7</t>
  </si>
  <si>
    <t>RD:4:I.0</t>
  </si>
  <si>
    <t>RD:8:O.0</t>
  </si>
  <si>
    <t>Dryer Outlet Vibratory feeder-1 Enable</t>
  </si>
  <si>
    <t>Contactor</t>
  </si>
  <si>
    <t>RD:4:I.1</t>
  </si>
  <si>
    <t>RD:8:O.1</t>
  </si>
  <si>
    <t>Dryer Outlet Vibratory feeder-2 Enable</t>
  </si>
  <si>
    <t>RD:4:I.2</t>
  </si>
  <si>
    <t>RD:8:O.2</t>
  </si>
  <si>
    <t>Dryer Heating Zone Dust Collector PV01</t>
  </si>
  <si>
    <t>Pulse Valve Coil</t>
  </si>
  <si>
    <t>RD:4:I.3</t>
  </si>
  <si>
    <t>RD:8:O.3</t>
  </si>
  <si>
    <t>Dryer Heating Zone Dust Collector PV02</t>
  </si>
  <si>
    <t>RD:4:I.4</t>
  </si>
  <si>
    <t>Dryer Heating Zone Inlet Blower Disconnector FB</t>
  </si>
  <si>
    <t>Disconnector Switch FB</t>
  </si>
  <si>
    <t>RD:8:O.4</t>
  </si>
  <si>
    <t>Dryer Heating Zone Dust Collector PV03</t>
  </si>
  <si>
    <t>RD:4:I.5</t>
  </si>
  <si>
    <t>Dryer Heating Zone Dust Collector Disconnector FB</t>
  </si>
  <si>
    <t>RD:8:O.5</t>
  </si>
  <si>
    <t>Dryer Cooling Zone Dust Collector PV01</t>
  </si>
  <si>
    <t>RD:4:I.6</t>
  </si>
  <si>
    <t>Dryer Cooling Zone Inlet Blower Disconnector FB</t>
  </si>
  <si>
    <t>RD:8:O.6</t>
  </si>
  <si>
    <t>Dryer Cooling Zone Dust Collector PV02</t>
  </si>
  <si>
    <t>RD:4:I.7</t>
  </si>
  <si>
    <t>Dryer Cooling Zone Dust Collector Disconnector FB</t>
  </si>
  <si>
    <t>RD:8:O.7</t>
  </si>
  <si>
    <t>Dryer Cooling Zone Dust Collector PV03</t>
  </si>
  <si>
    <t>RD:5:I.0</t>
  </si>
  <si>
    <t>Dryer Conveyor Motor Disconnector FB</t>
  </si>
  <si>
    <t>RD:9:O.0</t>
  </si>
  <si>
    <t>RD:5:I.1</t>
  </si>
  <si>
    <t>Dryer Outlet Vibratory feeder-1 MPCB Healthy</t>
  </si>
  <si>
    <t>RD:9:O.1</t>
  </si>
  <si>
    <t>RD:5:I.2</t>
  </si>
  <si>
    <t>Dryer Outlet Vibratory feeder-2 MPCB Healthy</t>
  </si>
  <si>
    <t>RD:9:O.2</t>
  </si>
  <si>
    <t>RD:5:I.3</t>
  </si>
  <si>
    <t>Gas Burner MPCB Healthy</t>
  </si>
  <si>
    <t>RD:9:O.3</t>
  </si>
  <si>
    <t>RD:5:I.4</t>
  </si>
  <si>
    <t>Dryer Outlet Vibratory feeder-1 Disconnector FB</t>
  </si>
  <si>
    <t>RD:9:O.4</t>
  </si>
  <si>
    <t>Gas Burner Enable</t>
  </si>
  <si>
    <t>Contact</t>
  </si>
  <si>
    <t>RD:5:I.5</t>
  </si>
  <si>
    <t>Dryer Outlet Vibratory feeder-2 Disconnector FB</t>
  </si>
  <si>
    <t>RD:9:O.5</t>
  </si>
  <si>
    <t>RD:5:I.6</t>
  </si>
  <si>
    <t>Gas Burner Disconnector FB</t>
  </si>
  <si>
    <t>RD:9:O.6</t>
  </si>
  <si>
    <t>RD:5:I.7</t>
  </si>
  <si>
    <t>RD:9:O.7</t>
  </si>
  <si>
    <t>RD:6:I.0</t>
  </si>
  <si>
    <t>Gas Burner Healthy FB</t>
  </si>
  <si>
    <t>RD:10:O.0</t>
  </si>
  <si>
    <t>RD:6:I.1</t>
  </si>
  <si>
    <t>RD:10:O.1</t>
  </si>
  <si>
    <t>RD:6:I.2</t>
  </si>
  <si>
    <t>Dryer Heating Zone Dust Collector Level High</t>
  </si>
  <si>
    <t>Level Sensor</t>
  </si>
  <si>
    <t>RD:10:O.2</t>
  </si>
  <si>
    <t>RD:6:I.3</t>
  </si>
  <si>
    <t>Dryer Cooling Zone Dust Collector Level High</t>
  </si>
  <si>
    <t>RD:10:O.3</t>
  </si>
  <si>
    <t>RD:6:I.4</t>
  </si>
  <si>
    <t>RD:10:O.4</t>
  </si>
  <si>
    <t>RD:6:I.5</t>
  </si>
  <si>
    <t>RD:10:O.5</t>
  </si>
  <si>
    <t>RD:6:I.6</t>
  </si>
  <si>
    <t>RD:10:O.6</t>
  </si>
  <si>
    <t>RD:6:I.7</t>
  </si>
  <si>
    <t>RD:10:O.7</t>
  </si>
  <si>
    <t>ANALOG INPUT</t>
  </si>
  <si>
    <t>ANALOG OUTPUT</t>
  </si>
  <si>
    <t>AI01</t>
  </si>
  <si>
    <t>RD:11:I.Ch0</t>
  </si>
  <si>
    <t xml:space="preserve">Gas Burner Inlet Temperature </t>
  </si>
  <si>
    <t>Temperature Transmitter</t>
  </si>
  <si>
    <t>AO01</t>
  </si>
  <si>
    <t>RD:13:O.Ch0</t>
  </si>
  <si>
    <t>Gas Burner Flame Control Signal</t>
  </si>
  <si>
    <t>Burner Controller</t>
  </si>
  <si>
    <t>AI02</t>
  </si>
  <si>
    <t>RD:11:I.Ch1</t>
  </si>
  <si>
    <t xml:space="preserve">Gas Burner Outlet Temperature </t>
  </si>
  <si>
    <t>AO02</t>
  </si>
  <si>
    <t>RD:13:O.Ch1</t>
  </si>
  <si>
    <t>Spare AO</t>
  </si>
  <si>
    <t>AI03</t>
  </si>
  <si>
    <t>RD:11:I.Ch2</t>
  </si>
  <si>
    <t>Dryer Heating Zone-1 Temperature</t>
  </si>
  <si>
    <t>AI04</t>
  </si>
  <si>
    <t>RD:11:I.Ch3</t>
  </si>
  <si>
    <t>Dryer Heating Zone-2 Temperature</t>
  </si>
  <si>
    <t>AI05</t>
  </si>
  <si>
    <t>RD:12:I.Ch0</t>
  </si>
  <si>
    <t>Dryer Heating Zone-3 Temperature</t>
  </si>
  <si>
    <t>AI06</t>
  </si>
  <si>
    <t>RD:12:I.Ch1</t>
  </si>
  <si>
    <t xml:space="preserve">Cooling Air Inlet Temperature </t>
  </si>
  <si>
    <t>AI07</t>
  </si>
  <si>
    <t>RD:12:I.Ch2</t>
  </si>
  <si>
    <t xml:space="preserve">Cooling Air Outlet Temperature </t>
  </si>
  <si>
    <t>AI08</t>
  </si>
  <si>
    <t>RD:12:I.Ch3</t>
  </si>
  <si>
    <t>Dryer Cooling Zone Temperature</t>
  </si>
  <si>
    <t>AI09</t>
  </si>
  <si>
    <t>RD:13:I.Ch0</t>
  </si>
  <si>
    <t>Dryer Heating Zone Dust Collector Pressure Transmitter</t>
  </si>
  <si>
    <t>Pressure Transmitter</t>
  </si>
  <si>
    <t>AI10</t>
  </si>
  <si>
    <t>RD:13:I.Ch1</t>
  </si>
  <si>
    <t>Dryer Cooling Zone Dust Collector Pressure Transmitter</t>
  </si>
  <si>
    <t>AI11</t>
  </si>
  <si>
    <t>RD:13:I.Ch2</t>
  </si>
  <si>
    <t>Spare AI</t>
  </si>
  <si>
    <t>AI12</t>
  </si>
  <si>
    <t>RD:13:I.Ch3</t>
  </si>
  <si>
    <t>RP:1:I.0</t>
  </si>
  <si>
    <t>Bag Filling Area E-Stop 1/1</t>
  </si>
  <si>
    <t>RP:2:O.0</t>
  </si>
  <si>
    <t>Packing Machine Safety Healhy 1/1</t>
  </si>
  <si>
    <t>RP:1:I.1</t>
  </si>
  <si>
    <t>Bag Filling Area E-Stop 1/2</t>
  </si>
  <si>
    <t>RP:2:O.1</t>
  </si>
  <si>
    <t>Packing Machine Safety Healhy 1/2</t>
  </si>
  <si>
    <t>RP:1:I.2</t>
  </si>
  <si>
    <t>Bag Rejection Area E-Stop 1/1</t>
  </si>
  <si>
    <t>RP:2:O.2</t>
  </si>
  <si>
    <t>Air Service Unit Coil-1 Enable</t>
  </si>
  <si>
    <t>Air Service Unit Coil</t>
  </si>
  <si>
    <t>RP:1:I.3</t>
  </si>
  <si>
    <t>Bag Rejection Area E-Stop 1/2</t>
  </si>
  <si>
    <t>RP:2:O.3</t>
  </si>
  <si>
    <t>Air Service Unit Coil-2 Enable</t>
  </si>
  <si>
    <t>RP:1:I.4</t>
  </si>
  <si>
    <t>RP:2:O.4</t>
  </si>
  <si>
    <t>RP:1:I.5</t>
  </si>
  <si>
    <t>RP:2:O.5</t>
  </si>
  <si>
    <t>RP:1:I.6</t>
  </si>
  <si>
    <t>RP:2:O.6</t>
  </si>
  <si>
    <t>RP:1:I.7</t>
  </si>
  <si>
    <t>RP:2:O.7</t>
  </si>
  <si>
    <t>RP:3:I.0</t>
  </si>
  <si>
    <t>Packing Start PB</t>
  </si>
  <si>
    <t>RP:14:O.0</t>
  </si>
  <si>
    <t xml:space="preserve">Packing Tower Lamp Red </t>
  </si>
  <si>
    <t>RP:3:I.1</t>
  </si>
  <si>
    <t>Packing Stop PB</t>
  </si>
  <si>
    <t>RP:14:O.1</t>
  </si>
  <si>
    <t>Packing Tower Lamp Amber</t>
  </si>
  <si>
    <t>RP:3:I.2</t>
  </si>
  <si>
    <t>Packing System Reset PB</t>
  </si>
  <si>
    <t>RP:14:O.2</t>
  </si>
  <si>
    <t>Packing Tower Lamp Green</t>
  </si>
  <si>
    <t>RP:3:I.3</t>
  </si>
  <si>
    <t>Packing System Safety Reset PB</t>
  </si>
  <si>
    <t>RP:14:O.3</t>
  </si>
  <si>
    <t>Packing Tower Lamp Buzzer</t>
  </si>
  <si>
    <t>RP:3:I.4</t>
  </si>
  <si>
    <t>RP:14:O.4</t>
  </si>
  <si>
    <t>Packing System Start PB Green Lamp</t>
  </si>
  <si>
    <t>RP:3:I.5</t>
  </si>
  <si>
    <t>RP:14:O.5</t>
  </si>
  <si>
    <t>Packing System Reset PB Blue Lamp</t>
  </si>
  <si>
    <t>RP:3:I.6</t>
  </si>
  <si>
    <t>Packing Air Pressure Switch</t>
  </si>
  <si>
    <t>RP:14:O.6</t>
  </si>
  <si>
    <t>Packing System Safety Reset PB Yellow Lamp</t>
  </si>
  <si>
    <t>RP:3:I.7</t>
  </si>
  <si>
    <t>RP:14:O.7</t>
  </si>
  <si>
    <t>RP:4:I.0</t>
  </si>
  <si>
    <t>Incliend Belt conveyor Disconnector FB</t>
  </si>
  <si>
    <t>RP:15:O.0</t>
  </si>
  <si>
    <t>Electro Magnetic Coarse Vibro Enable</t>
  </si>
  <si>
    <t>RP:4:I.1</t>
  </si>
  <si>
    <t>Material Storage Vibro-1 Disconnector FB</t>
  </si>
  <si>
    <t>RP:15:O.1</t>
  </si>
  <si>
    <t>Electro Magnetic Fine Vibro Enable</t>
  </si>
  <si>
    <t>RP:4:I.2</t>
  </si>
  <si>
    <t>Material Storage Vibro-2 Disconnector FB</t>
  </si>
  <si>
    <t>RP:15:O.2</t>
  </si>
  <si>
    <t>Bag Stitching Motor Enable</t>
  </si>
  <si>
    <t>RP:4:I.3</t>
  </si>
  <si>
    <t>Bag Filling Conveyor Disconnector FB</t>
  </si>
  <si>
    <t>RP:15:O.3</t>
  </si>
  <si>
    <t>Bagging Zone Dust Collector Enable</t>
  </si>
  <si>
    <t>RP:4:I.4</t>
  </si>
  <si>
    <t>Bag Sealing &amp; Stiching Conveyor Disconnector FB</t>
  </si>
  <si>
    <t>RP:15:O.4</t>
  </si>
  <si>
    <t>Bag Sealing Machine Enable</t>
  </si>
  <si>
    <t>RP:4:I.5</t>
  </si>
  <si>
    <t>Bag Stitching Motor Trip Healthy</t>
  </si>
  <si>
    <t>RP:15:O.5</t>
  </si>
  <si>
    <t>RP:4:I.6</t>
  </si>
  <si>
    <t>Bag Tilting Conveyor Disconnector FB</t>
  </si>
  <si>
    <t>RP:15:O.6</t>
  </si>
  <si>
    <t>RP:4:I.7</t>
  </si>
  <si>
    <t>Bag Flattening Bottom Conveyor Disconnector FB</t>
  </si>
  <si>
    <t>RP:15:O.7</t>
  </si>
  <si>
    <t>RP:5:I.0</t>
  </si>
  <si>
    <t>Bag Flattening Top Conveyor Disconnector FB</t>
  </si>
  <si>
    <t>RP:16:O.0</t>
  </si>
  <si>
    <t>Diverter Flap Cylinder FWD SOV</t>
  </si>
  <si>
    <t>SOV Coil</t>
  </si>
  <si>
    <t>RP:5:I.1</t>
  </si>
  <si>
    <t>Metal Detector Conveyor Disconnector FB</t>
  </si>
  <si>
    <t>RP:16:O.1</t>
  </si>
  <si>
    <t>Diverter Flap Cylinder REV SOV</t>
  </si>
  <si>
    <t>RP:5:I.2</t>
  </si>
  <si>
    <t>Bag Rejection Conveyor Disconnector FB</t>
  </si>
  <si>
    <t>RP:16:O.2</t>
  </si>
  <si>
    <t xml:space="preserve">Filling Station Bag Clamp-1/2 Open SOV </t>
  </si>
  <si>
    <t>RP:5:I.3</t>
  </si>
  <si>
    <t>Bagging Zone Dust Collector Trip Healthy</t>
  </si>
  <si>
    <t>RP:16:O.3</t>
  </si>
  <si>
    <t>Filling Station Bag Clamp-1/2 Open SOV</t>
  </si>
  <si>
    <t>RP:5:I.4</t>
  </si>
  <si>
    <t>Electro Magnetic Coarse Vibro Trip Healthy</t>
  </si>
  <si>
    <t>MCB Contact</t>
  </si>
  <si>
    <t>RP:16:O.4</t>
  </si>
  <si>
    <t>Filling Station Bag Side Flap-1/2 Open SOV</t>
  </si>
  <si>
    <t>RP:5:I.5</t>
  </si>
  <si>
    <t>Electro Magnetic Fine Vibro Trip Healthy</t>
  </si>
  <si>
    <t>RP:16:O.5</t>
  </si>
  <si>
    <t>Filling Station Bag Side Flap-1/2 Close SOV</t>
  </si>
  <si>
    <t>RP:5:I.6</t>
  </si>
  <si>
    <t>Band Sealer Machine Trip Healthy</t>
  </si>
  <si>
    <t>RP:16:O.6</t>
  </si>
  <si>
    <t>Filling Station Conveyor Up SOV</t>
  </si>
  <si>
    <t>RP:5:I.7</t>
  </si>
  <si>
    <t>RP:16:O.7</t>
  </si>
  <si>
    <t>Filling Station Conveyor Dn SOV</t>
  </si>
  <si>
    <t>RP:6:I.0</t>
  </si>
  <si>
    <t>RP:17:O.0</t>
  </si>
  <si>
    <t>Stitching Station Thread Cutter Cylinder Fwd SOV</t>
  </si>
  <si>
    <t>RP:6:I.1</t>
  </si>
  <si>
    <t>Bag Stitching Motor Disconnector FB</t>
  </si>
  <si>
    <t>RP:17:O.1</t>
  </si>
  <si>
    <t>Stitching Station Thread Cutter Cylinder Rev SOV</t>
  </si>
  <si>
    <t>RP:6:I.2</t>
  </si>
  <si>
    <t>Bagging Zone Dust Collector Disconnector FB</t>
  </si>
  <si>
    <t>RP:17:O.2</t>
  </si>
  <si>
    <t>Rejection Station Pusher Cyl Forward SOV</t>
  </si>
  <si>
    <t>RP:6:I.3</t>
  </si>
  <si>
    <t>Electro Magnetic Coarse Vibro Disconnector FB</t>
  </si>
  <si>
    <t>RP:17:O.3</t>
  </si>
  <si>
    <t>Rejection Station Pusher Cyl Reverse SOV</t>
  </si>
  <si>
    <t>RP:6:I.4</t>
  </si>
  <si>
    <t>Electro Magnetic Fine Vibro Disconnector FB</t>
  </si>
  <si>
    <t>RP:17:O.4</t>
  </si>
  <si>
    <t>RP:6:I.5</t>
  </si>
  <si>
    <t>Band Sealer Machine Disconnector FB</t>
  </si>
  <si>
    <t>RP:17:O.5</t>
  </si>
  <si>
    <t>Packing Zone Dust Collector PV01</t>
  </si>
  <si>
    <t>RP:6:I.6</t>
  </si>
  <si>
    <t>RP:17:O.6</t>
  </si>
  <si>
    <t>Packing Zone Dust Collector PV02</t>
  </si>
  <si>
    <t>RP:6:I.7</t>
  </si>
  <si>
    <t>RP:17:O.7</t>
  </si>
  <si>
    <t>RP:7:I.0</t>
  </si>
  <si>
    <t>Diverter Flap Cylinder FWD FB</t>
  </si>
  <si>
    <t>DO33</t>
  </si>
  <si>
    <t>RP:18:O.0</t>
  </si>
  <si>
    <t>RP:7:I.1</t>
  </si>
  <si>
    <t>Diverter Flap Cylinder REV FB</t>
  </si>
  <si>
    <t>DO34</t>
  </si>
  <si>
    <t>RP:18:O.1</t>
  </si>
  <si>
    <t>RP:7:I.2</t>
  </si>
  <si>
    <t xml:space="preserve">Filling Station Bag Clamp-1 Open FB </t>
  </si>
  <si>
    <t>DO35</t>
  </si>
  <si>
    <t>RP:18:O.2</t>
  </si>
  <si>
    <t>RP:7:I.3</t>
  </si>
  <si>
    <t>Filling Station Bag Clamp-1 CloseFB</t>
  </si>
  <si>
    <t>DO36</t>
  </si>
  <si>
    <t>RP:18:O.3</t>
  </si>
  <si>
    <t>RP:7:I.4</t>
  </si>
  <si>
    <t>Filling Station Bag Clamp-2 Open FB</t>
  </si>
  <si>
    <t>DO37</t>
  </si>
  <si>
    <t>RP:18:O.4</t>
  </si>
  <si>
    <t>RP:7:I.5</t>
  </si>
  <si>
    <t>Filling Station Bag Clamp-2 Close FB</t>
  </si>
  <si>
    <t>DO38</t>
  </si>
  <si>
    <t>RP:18:O.5</t>
  </si>
  <si>
    <t>RP:7:I.6</t>
  </si>
  <si>
    <t>Filling Station Bag Side Flap-1 Open FB</t>
  </si>
  <si>
    <t>DO39</t>
  </si>
  <si>
    <t>RP:18:O.6</t>
  </si>
  <si>
    <t>RP:7:I.7</t>
  </si>
  <si>
    <t>Filling Station Bag Side Flap-1 Close FB</t>
  </si>
  <si>
    <t>DO40</t>
  </si>
  <si>
    <t>RP:18:O.7</t>
  </si>
  <si>
    <t>RP:8:I.0</t>
  </si>
  <si>
    <t>Filling Station Bag Side Flap-2 Open FB</t>
  </si>
  <si>
    <t>RP:8:I.1</t>
  </si>
  <si>
    <t>Filling Station Bag Side Flap-2 Close FB</t>
  </si>
  <si>
    <t>RP:8:I.2</t>
  </si>
  <si>
    <t>Filling Station Bag Present Sensor</t>
  </si>
  <si>
    <t>Photo Sensor</t>
  </si>
  <si>
    <t>RP:8:I.3</t>
  </si>
  <si>
    <t xml:space="preserve">Filling Station Bag Clamp Foot Switch </t>
  </si>
  <si>
    <t>Foot Switch</t>
  </si>
  <si>
    <t>RP:8:I.4</t>
  </si>
  <si>
    <t>Filling Station Filling Start/Stop PB</t>
  </si>
  <si>
    <t>2 Hand Push Button</t>
  </si>
  <si>
    <t>RP:8:I.5</t>
  </si>
  <si>
    <t>Filling Station Conveyor Up FB</t>
  </si>
  <si>
    <t>RP:8:I.6</t>
  </si>
  <si>
    <t>Filling Station Conveyor Dn FB</t>
  </si>
  <si>
    <t>RP:8:I.7</t>
  </si>
  <si>
    <t>RP:9:I.0</t>
  </si>
  <si>
    <t xml:space="preserve">Sealing Station Bag Entry Sensor </t>
  </si>
  <si>
    <t>RP:9:I.1</t>
  </si>
  <si>
    <t>Sealing Station Bag Exit Sensor</t>
  </si>
  <si>
    <t>RP:9:I.2</t>
  </si>
  <si>
    <t>Sealing Station Band Sealer Machine Ready</t>
  </si>
  <si>
    <t>RP:9:I.3</t>
  </si>
  <si>
    <t>Sealing Station Band Sealer Machine Running</t>
  </si>
  <si>
    <t>RP:9:I.4</t>
  </si>
  <si>
    <t>Sealing Station Band Sealer Machine Temperature OK</t>
  </si>
  <si>
    <t>RP:9:I.5</t>
  </si>
  <si>
    <t>Sealing Conveyor Start Foot Switch</t>
  </si>
  <si>
    <t>RP:9:I.6</t>
  </si>
  <si>
    <t>RP:9:I.7</t>
  </si>
  <si>
    <t>Stitching Station Cycle Start Foot Switch</t>
  </si>
  <si>
    <t>DI57</t>
  </si>
  <si>
    <t>RP:10:I.0</t>
  </si>
  <si>
    <t xml:space="preserve">Stitching Station Bag Entry Sensor </t>
  </si>
  <si>
    <t>DI58</t>
  </si>
  <si>
    <t>RP:10:I.1</t>
  </si>
  <si>
    <t>Stitching Station Bag Exit Sensor</t>
  </si>
  <si>
    <t>DI59</t>
  </si>
  <si>
    <t>RP:10:I.2</t>
  </si>
  <si>
    <t>Stitching Station Thread Cutter Cylinder Fwd FB</t>
  </si>
  <si>
    <t>DI60</t>
  </si>
  <si>
    <t>RP:10:I.3</t>
  </si>
  <si>
    <t>Stitching Station Thread Cutter Cylinder Rev FB</t>
  </si>
  <si>
    <t>DI61</t>
  </si>
  <si>
    <t>RP:10:I.4</t>
  </si>
  <si>
    <t>Stitching Station Thread breake Detection Sensor-1</t>
  </si>
  <si>
    <t>Thread Sensor</t>
  </si>
  <si>
    <t>DI62</t>
  </si>
  <si>
    <t>RP:10:I.5</t>
  </si>
  <si>
    <t>Stitching Station Thread breake Detection Sensor-2</t>
  </si>
  <si>
    <t>DI63</t>
  </si>
  <si>
    <t>RP:10:I.6</t>
  </si>
  <si>
    <t>Stitching Station Stitching Start Sensor</t>
  </si>
  <si>
    <t>DI64</t>
  </si>
  <si>
    <t>RP:10:I.7</t>
  </si>
  <si>
    <t>Stitching Station Stitching StopSensor</t>
  </si>
  <si>
    <t>DI65</t>
  </si>
  <si>
    <t>RP:11:I.0</t>
  </si>
  <si>
    <t xml:space="preserve">Tilting Station Bag Present Sensor </t>
  </si>
  <si>
    <t>DI66</t>
  </si>
  <si>
    <t>RP:11:I.1</t>
  </si>
  <si>
    <t xml:space="preserve">Bag Flattner Station Bag Entry Sensor </t>
  </si>
  <si>
    <t>DI67</t>
  </si>
  <si>
    <t>RP:11:I.2</t>
  </si>
  <si>
    <t>Bag Flattner Station Bag Exit Sensor</t>
  </si>
  <si>
    <t>DI68</t>
  </si>
  <si>
    <t>RP:11:I.3</t>
  </si>
  <si>
    <t>DI69</t>
  </si>
  <si>
    <t>RP:11:I.4</t>
  </si>
  <si>
    <t>DI70</t>
  </si>
  <si>
    <t>RP:11:I.5</t>
  </si>
  <si>
    <t xml:space="preserve">Metal Detector Station Bag Entry Sensor </t>
  </si>
  <si>
    <t>DI71</t>
  </si>
  <si>
    <t>RP:11:I.6</t>
  </si>
  <si>
    <t>Metal Detector Station Bag Exit Sensor</t>
  </si>
  <si>
    <t>DI72</t>
  </si>
  <si>
    <t>RP:11:I.7</t>
  </si>
  <si>
    <t>Metal Detector FB</t>
  </si>
  <si>
    <t>DI73</t>
  </si>
  <si>
    <t>RP:12:I.0</t>
  </si>
  <si>
    <t xml:space="preserve">Rejection Station Bag Present Sensor </t>
  </si>
  <si>
    <t>DI74</t>
  </si>
  <si>
    <t>RP:12:I.1</t>
  </si>
  <si>
    <t>Rejection Station Bag Entry Sensor</t>
  </si>
  <si>
    <t>DI75</t>
  </si>
  <si>
    <t>RP:12:I.2</t>
  </si>
  <si>
    <t>Rejection Station Bag Exit Sensor</t>
  </si>
  <si>
    <t>DI76</t>
  </si>
  <si>
    <t>RP:12:I.3</t>
  </si>
  <si>
    <t>Rejection Station Pusher Cyl Forward FB</t>
  </si>
  <si>
    <t>DI77</t>
  </si>
  <si>
    <t>RP:12:I.4</t>
  </si>
  <si>
    <t>Rejection Station Pusher Cyl Reverse FB</t>
  </si>
  <si>
    <t>DI78</t>
  </si>
  <si>
    <t>RP:12:I.5</t>
  </si>
  <si>
    <t>DI79</t>
  </si>
  <si>
    <t>RP:12:I.6</t>
  </si>
  <si>
    <t>Packing Zone Dust Collector Level High</t>
  </si>
  <si>
    <t>DI80</t>
  </si>
  <si>
    <t>RP:12:I.7</t>
  </si>
  <si>
    <t>Dust Collector Discharge BFV Open FB</t>
  </si>
  <si>
    <t>Valve FB</t>
  </si>
  <si>
    <t>DI81</t>
  </si>
  <si>
    <t>RP:13:I.0</t>
  </si>
  <si>
    <t>DI82</t>
  </si>
  <si>
    <t>RP:13:I.1</t>
  </si>
  <si>
    <t>DI83</t>
  </si>
  <si>
    <t>RP:13:I.2</t>
  </si>
  <si>
    <t>DI84</t>
  </si>
  <si>
    <t>RP:13:I.3</t>
  </si>
  <si>
    <t>DI85</t>
  </si>
  <si>
    <t>RP:13:I.4</t>
  </si>
  <si>
    <t>DI86</t>
  </si>
  <si>
    <t>RP:13:I.5</t>
  </si>
  <si>
    <t>DI87</t>
  </si>
  <si>
    <t>RP:13:I.6</t>
  </si>
  <si>
    <t>DI88</t>
  </si>
  <si>
    <t>RP:13:I.7</t>
  </si>
  <si>
    <t>RP:19:I.Ch0</t>
  </si>
  <si>
    <t>Coarse Vibro Level Sensor</t>
  </si>
  <si>
    <t>RP:19:I.Ch1</t>
  </si>
  <si>
    <t>Fine Vibro Level Sensor</t>
  </si>
  <si>
    <t>RP:19:I.Ch2</t>
  </si>
  <si>
    <t>Dust Collector Pressure Transmitter</t>
  </si>
  <si>
    <t>RP:19:I.Ch3</t>
  </si>
  <si>
    <t>RP:20:I.Ch0</t>
  </si>
  <si>
    <t>RP:20:I.Ch1</t>
  </si>
  <si>
    <t>Project Network</t>
  </si>
  <si>
    <t>Feeders-1 (In Future Scope)</t>
  </si>
  <si>
    <t>Feeders-2 (In Future Scope)</t>
  </si>
  <si>
    <t>Feeders-3 (In Future Scope)</t>
  </si>
  <si>
    <t>DCM</t>
  </si>
  <si>
    <t>BSM01</t>
  </si>
  <si>
    <t>[PLC]RIO01_DI[31]</t>
  </si>
  <si>
    <t>[PLC]RIO01_DI[01]</t>
  </si>
  <si>
    <t>[PLC]RIO01_DI[02]</t>
  </si>
  <si>
    <t>[PLC]RIO01_DI[03]</t>
  </si>
  <si>
    <t>[PLC]RIO01_DI[04]</t>
  </si>
  <si>
    <t>[PLC]RIO01_DI[05]</t>
  </si>
  <si>
    <t>[PLC]RIO01_DI[06]</t>
  </si>
  <si>
    <t>[PLC]RIO01_DI[07]</t>
  </si>
  <si>
    <t>[PLC]RIO01_DI[08]</t>
  </si>
  <si>
    <t>[PLC]RIO01_DI[09]</t>
  </si>
  <si>
    <t>[PLC]RIO01_DI[10]</t>
  </si>
  <si>
    <t>[PLC]RIO01_DI[11]</t>
  </si>
  <si>
    <t>[PLC]RIO01_DI[12]</t>
  </si>
  <si>
    <t>[PLC]RIO01_DI[13]</t>
  </si>
  <si>
    <t>[PLC]RIO01_DI[14]</t>
  </si>
  <si>
    <t>[PLC]RIO01_DI[15]</t>
  </si>
  <si>
    <t>[PLC]RIO01_DI[16]</t>
  </si>
  <si>
    <t>[PLC]RIO01_DI[17]</t>
  </si>
  <si>
    <t>[PLC]RIO01_DI[18]</t>
  </si>
  <si>
    <t>[PLC]RIO01_DI[19]</t>
  </si>
  <si>
    <t>[PLC]RIO01_DI[20]</t>
  </si>
  <si>
    <t>[PLC]RIO01_DI[21]</t>
  </si>
  <si>
    <t>[PLC]RIO01_DI[22]</t>
  </si>
  <si>
    <t>[PLC]RIO01_DI[23]</t>
  </si>
  <si>
    <t>[PLC]RIO01_DI[24]</t>
  </si>
  <si>
    <t>[PLC]RIO01_DI[25]</t>
  </si>
  <si>
    <t>[PLC]RIO01_DI[26]</t>
  </si>
  <si>
    <t>[PLC]RIO01_DI[27]</t>
  </si>
  <si>
    <t>[PLC]RIO01_DI[28]</t>
  </si>
  <si>
    <t>[PLC]RIO01_DI[29]</t>
  </si>
  <si>
    <t>[PLC]RIO01_DI[30]</t>
  </si>
  <si>
    <t>[PLC]RIO01_DI[32]</t>
  </si>
  <si>
    <t>[PLC]RIO01_DI[33]</t>
  </si>
  <si>
    <t>[PLC]RIO01_DI[34]</t>
  </si>
  <si>
    <t>[PLC]RIO01_DI[35]</t>
  </si>
  <si>
    <t>[PLC]RIO01_DI[36]</t>
  </si>
  <si>
    <t>[PLC]RIO01_DI[37]</t>
  </si>
  <si>
    <t>[PLC]RIO01_DI[38]</t>
  </si>
  <si>
    <t>[PLC]RIO01_DI[39]</t>
  </si>
  <si>
    <t>[PLC]RIO01_DI[40]</t>
  </si>
  <si>
    <t>[PLC]RIO01_DI[41]</t>
  </si>
  <si>
    <t>[PLC]RIO01_DI[42]</t>
  </si>
  <si>
    <t>[PLC]RIO01_DI[43]</t>
  </si>
  <si>
    <t>[PLC]RIO01_DI[44]</t>
  </si>
  <si>
    <t>[PLC]RIO01_DI[45]</t>
  </si>
  <si>
    <t>[PLC]RIO01_DI[46]</t>
  </si>
  <si>
    <t>[PLC]RIO01_DI[47]</t>
  </si>
  <si>
    <t>[PLC]RIO01_DI[48]</t>
  </si>
  <si>
    <t>[PLC]RIO01_DI[49]</t>
  </si>
  <si>
    <t>[PLC]RIO01_DI[50]</t>
  </si>
  <si>
    <t>[PLC]RIO01_DI[51]</t>
  </si>
  <si>
    <t>[PLC]RIO01_DI[52]</t>
  </si>
  <si>
    <t>[PLC]RIO01_DI[53]</t>
  </si>
  <si>
    <t>[PLC]RIO01_DI[54]</t>
  </si>
  <si>
    <t>[PLC]RIO01_DI[55]</t>
  </si>
  <si>
    <t>[PLC]RIO01_DI[56]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</si>
</sst>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Roboto Lt"/>
    </font>
    <font>
      <b/>
      <sz val="11"/>
      <color theme="1"/>
      <name val="Roboto Lt"/>
    </font>
    <font>
      <sz val="11"/>
      <color theme="1"/>
      <name val="Roboto Lt"/>
    </font>
    <font>
      <sz val="12"/>
      <color theme="1"/>
      <name val="Roboto Lt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indexed="8"/>
      <name val="Arial"/>
      <family val="2"/>
      <charset val="134"/>
    </font>
    <font>
      <sz val="18"/>
      <color theme="3"/>
      <name val="Calibri Light"/>
      <family val="2"/>
      <scheme val="maj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3">
    <xf numFmtId="0" fontId="0" fillId="0" borderId="0"/>
    <xf numFmtId="0" fontId="18" fillId="0" borderId="28" applyNumberFormat="0" applyFill="0" applyAlignment="0" applyProtection="0"/>
    <xf numFmtId="0" fontId="19" fillId="0" borderId="29" applyNumberFormat="0" applyFill="0" applyAlignment="0" applyProtection="0"/>
    <xf numFmtId="0" fontId="20" fillId="0" borderId="30" applyNumberFormat="0" applyFill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12" borderId="31" applyNumberFormat="0" applyAlignment="0" applyProtection="0"/>
    <xf numFmtId="0" fontId="25" fillId="13" borderId="32" applyNumberFormat="0" applyAlignment="0" applyProtection="0"/>
    <xf numFmtId="0" fontId="26" fillId="13" borderId="31" applyNumberFormat="0" applyAlignment="0" applyProtection="0"/>
    <xf numFmtId="0" fontId="27" fillId="0" borderId="33" applyNumberFormat="0" applyFill="0" applyAlignment="0" applyProtection="0"/>
    <xf numFmtId="0" fontId="13" fillId="14" borderId="34" applyNumberFormat="0" applyAlignment="0" applyProtection="0"/>
    <xf numFmtId="0" fontId="16" fillId="0" borderId="0" applyNumberFormat="0" applyFill="0" applyBorder="0" applyAlignment="0" applyProtection="0"/>
    <xf numFmtId="0" fontId="17" fillId="15" borderId="35" applyNumberFormat="0" applyFont="0" applyAlignment="0" applyProtection="0"/>
    <xf numFmtId="0" fontId="28" fillId="0" borderId="0" applyNumberFormat="0" applyFill="0" applyBorder="0" applyAlignment="0" applyProtection="0"/>
    <xf numFmtId="0" fontId="1" fillId="0" borderId="36" applyNumberFormat="0" applyFill="0" applyAlignment="0" applyProtection="0"/>
    <xf numFmtId="0" fontId="15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5" fillId="39" borderId="0" applyNumberFormat="0" applyBorder="0" applyAlignment="0" applyProtection="0"/>
    <xf numFmtId="0" fontId="30" fillId="0" borderId="0" applyNumberFormat="0" applyFill="0" applyBorder="0" applyAlignment="0" applyProtection="0"/>
    <xf numFmtId="0" fontId="29" fillId="0" borderId="0">
      <alignment vertical="top"/>
    </xf>
  </cellStyleXfs>
  <cellXfs count="22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8" fillId="0" borderId="5" xfId="0" applyFont="1" applyBorder="1"/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8" borderId="21" xfId="0" applyFont="1" applyFill="1" applyBorder="1" applyAlignment="1">
      <alignment horizontal="center" vertical="center"/>
    </xf>
    <xf numFmtId="0" fontId="13" fillId="8" borderId="19" xfId="0" applyFont="1" applyFill="1" applyBorder="1" applyAlignment="1">
      <alignment horizontal="center"/>
    </xf>
    <xf numFmtId="0" fontId="13" fillId="8" borderId="20" xfId="0" applyFont="1" applyFill="1" applyBorder="1" applyAlignment="1">
      <alignment horizontal="center"/>
    </xf>
    <xf numFmtId="0" fontId="13" fillId="8" borderId="20" xfId="0" applyFont="1" applyFill="1" applyBorder="1" applyAlignment="1">
      <alignment horizontal="center" vertical="center"/>
    </xf>
    <xf numFmtId="0" fontId="14" fillId="8" borderId="20" xfId="0" applyFont="1" applyFill="1" applyBorder="1" applyAlignment="1">
      <alignment horizontal="center" vertical="center"/>
    </xf>
    <xf numFmtId="0" fontId="13" fillId="8" borderId="2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left"/>
    </xf>
    <xf numFmtId="0" fontId="7" fillId="0" borderId="12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7" fillId="0" borderId="5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/>
    </xf>
    <xf numFmtId="0" fontId="12" fillId="0" borderId="12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2" fontId="12" fillId="0" borderId="12" xfId="0" applyNumberFormat="1" applyFont="1" applyBorder="1" applyAlignment="1">
      <alignment horizontal="center" vertical="center"/>
    </xf>
    <xf numFmtId="2" fontId="12" fillId="0" borderId="13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164" fontId="0" fillId="0" borderId="5" xfId="0" applyNumberFormat="1" applyBorder="1" applyAlignment="1">
      <alignment horizontal="center"/>
    </xf>
    <xf numFmtId="1" fontId="6" fillId="0" borderId="5" xfId="0" applyNumberFormat="1" applyFont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1" fontId="31" fillId="0" borderId="11" xfId="0" applyNumberFormat="1" applyFont="1" applyBorder="1" applyAlignment="1">
      <alignment horizontal="center" vertical="center"/>
    </xf>
    <xf numFmtId="1" fontId="31" fillId="0" borderId="8" xfId="0" applyNumberFormat="1" applyFont="1" applyBorder="1" applyAlignment="1">
      <alignment horizontal="center" vertical="center"/>
    </xf>
    <xf numFmtId="0" fontId="31" fillId="5" borderId="26" xfId="0" applyFont="1" applyFill="1" applyBorder="1" applyAlignment="1">
      <alignment horizontal="center" vertical="center"/>
    </xf>
    <xf numFmtId="1" fontId="31" fillId="5" borderId="26" xfId="0" applyNumberFormat="1" applyFont="1" applyFill="1" applyBorder="1" applyAlignment="1">
      <alignment horizontal="center" vertical="center"/>
    </xf>
    <xf numFmtId="1" fontId="31" fillId="5" borderId="38" xfId="0" applyNumberFormat="1" applyFont="1" applyFill="1" applyBorder="1" applyAlignment="1">
      <alignment horizontal="center" vertical="center"/>
    </xf>
    <xf numFmtId="0" fontId="31" fillId="6" borderId="11" xfId="0" applyFont="1" applyFill="1" applyBorder="1" applyAlignment="1">
      <alignment horizontal="center" vertical="center"/>
    </xf>
    <xf numFmtId="1" fontId="31" fillId="6" borderId="8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0" fontId="0" fillId="0" borderId="4" xfId="0" applyBorder="1"/>
    <xf numFmtId="1" fontId="0" fillId="0" borderId="7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" xfId="0" applyNumberFormat="1" applyBorder="1"/>
    <xf numFmtId="0" fontId="6" fillId="0" borderId="18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/>
    <xf numFmtId="0" fontId="6" fillId="0" borderId="1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5" xfId="0" applyFont="1" applyBorder="1"/>
    <xf numFmtId="0" fontId="6" fillId="0" borderId="7" xfId="0" applyFont="1" applyBorder="1" applyAlignment="1">
      <alignment horizontal="center"/>
    </xf>
    <xf numFmtId="0" fontId="13" fillId="8" borderId="44" xfId="0" applyFont="1" applyFill="1" applyBorder="1" applyAlignment="1">
      <alignment horizontal="center" vertical="center"/>
    </xf>
    <xf numFmtId="0" fontId="7" fillId="40" borderId="12" xfId="0" applyFont="1" applyFill="1" applyBorder="1" applyAlignment="1">
      <alignment horizontal="center" vertical="center"/>
    </xf>
    <xf numFmtId="0" fontId="7" fillId="40" borderId="5" xfId="0" applyFont="1" applyFill="1" applyBorder="1" applyAlignment="1">
      <alignment horizontal="center" vertical="center"/>
    </xf>
    <xf numFmtId="0" fontId="1" fillId="0" borderId="0" xfId="0" applyFont="1"/>
    <xf numFmtId="0" fontId="6" fillId="4" borderId="5" xfId="0" applyFont="1" applyFill="1" applyBorder="1" applyAlignment="1">
      <alignment horizontal="center"/>
    </xf>
    <xf numFmtId="0" fontId="6" fillId="41" borderId="5" xfId="0" applyFont="1" applyFill="1" applyBorder="1" applyAlignment="1">
      <alignment horizontal="left"/>
    </xf>
    <xf numFmtId="1" fontId="31" fillId="0" borderId="46" xfId="0" applyNumberFormat="1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1" fontId="31" fillId="0" borderId="48" xfId="0" applyNumberFormat="1" applyFont="1" applyBorder="1" applyAlignment="1">
      <alignment horizontal="center" vertical="center"/>
    </xf>
    <xf numFmtId="1" fontId="31" fillId="0" borderId="49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/>
    </xf>
    <xf numFmtId="0" fontId="32" fillId="8" borderId="21" xfId="0" applyFont="1" applyFill="1" applyBorder="1" applyAlignment="1">
      <alignment horizontal="center" vertical="center"/>
    </xf>
    <xf numFmtId="0" fontId="32" fillId="8" borderId="20" xfId="0" applyFont="1" applyFill="1" applyBorder="1" applyAlignment="1">
      <alignment horizontal="center"/>
    </xf>
    <xf numFmtId="0" fontId="32" fillId="8" borderId="20" xfId="0" applyFont="1" applyFill="1" applyBorder="1" applyAlignment="1">
      <alignment horizontal="center" vertical="center"/>
    </xf>
    <xf numFmtId="0" fontId="33" fillId="8" borderId="20" xfId="0" applyFont="1" applyFill="1" applyBorder="1" applyAlignment="1">
      <alignment horizontal="center" vertical="center"/>
    </xf>
    <xf numFmtId="0" fontId="32" fillId="8" borderId="22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34" fillId="40" borderId="5" xfId="0" applyFont="1" applyFill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164" fontId="34" fillId="0" borderId="5" xfId="0" applyNumberFormat="1" applyFont="1" applyBorder="1" applyAlignment="1">
      <alignment horizontal="center" vertical="center"/>
    </xf>
    <xf numFmtId="0" fontId="34" fillId="0" borderId="5" xfId="0" applyFont="1" applyBorder="1" applyAlignment="1">
      <alignment vertical="center"/>
    </xf>
    <xf numFmtId="1" fontId="0" fillId="0" borderId="5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50" xfId="0" applyBorder="1" applyAlignment="1">
      <alignment horizontal="left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34" fillId="40" borderId="12" xfId="0" applyFont="1" applyFill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164" fontId="34" fillId="0" borderId="12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34" fillId="40" borderId="11" xfId="0" applyFont="1" applyFill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164" fontId="34" fillId="0" borderId="11" xfId="0" applyNumberFormat="1" applyFont="1" applyBorder="1" applyAlignment="1">
      <alignment horizontal="center" vertical="center"/>
    </xf>
    <xf numFmtId="0" fontId="32" fillId="8" borderId="1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45" xfId="0" applyFont="1" applyBorder="1" applyAlignment="1">
      <alignment horizontal="center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11" xfId="0" applyFont="1" applyBorder="1" applyAlignment="1">
      <alignment horizontal="center"/>
    </xf>
    <xf numFmtId="0" fontId="4" fillId="0" borderId="11" xfId="0" applyFont="1" applyBorder="1"/>
    <xf numFmtId="0" fontId="4" fillId="0" borderId="11" xfId="0" applyFont="1" applyBorder="1" applyAlignment="1">
      <alignment horizontal="left"/>
    </xf>
    <xf numFmtId="0" fontId="6" fillId="0" borderId="11" xfId="0" applyFont="1" applyBorder="1" applyAlignment="1">
      <alignment horizontal="center"/>
    </xf>
    <xf numFmtId="0" fontId="5" fillId="5" borderId="18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/>
    <xf numFmtId="0" fontId="6" fillId="0" borderId="8" xfId="0" applyFont="1" applyBorder="1" applyAlignment="1">
      <alignment horizontal="center"/>
    </xf>
    <xf numFmtId="0" fontId="7" fillId="42" borderId="5" xfId="0" applyFont="1" applyFill="1" applyBorder="1" applyAlignment="1">
      <alignment horizontal="center" vertical="center"/>
    </xf>
    <xf numFmtId="0" fontId="34" fillId="42" borderId="12" xfId="0" applyFont="1" applyFill="1" applyBorder="1" applyAlignment="1">
      <alignment horizontal="center" vertical="center"/>
    </xf>
    <xf numFmtId="0" fontId="34" fillId="42" borderId="5" xfId="0" applyFont="1" applyFill="1" applyBorder="1" applyAlignment="1">
      <alignment horizontal="center" vertical="center"/>
    </xf>
    <xf numFmtId="0" fontId="34" fillId="42" borderId="11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2" fillId="2" borderId="21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0" xfId="0" applyFont="1" applyFill="1" applyBorder="1"/>
    <xf numFmtId="0" fontId="2" fillId="2" borderId="20" xfId="0" applyFont="1" applyFill="1" applyBorder="1" applyAlignment="1">
      <alignment horizontal="left"/>
    </xf>
    <xf numFmtId="0" fontId="5" fillId="5" borderId="12" xfId="0" applyFont="1" applyFill="1" applyBorder="1" applyAlignment="1">
      <alignment horizontal="center"/>
    </xf>
    <xf numFmtId="0" fontId="2" fillId="5" borderId="12" xfId="0" applyFont="1" applyFill="1" applyBorder="1"/>
    <xf numFmtId="0" fontId="4" fillId="5" borderId="12" xfId="0" applyFont="1" applyFill="1" applyBorder="1" applyAlignment="1">
      <alignment horizontal="center"/>
    </xf>
    <xf numFmtId="0" fontId="2" fillId="5" borderId="12" xfId="0" applyFont="1" applyFill="1" applyBorder="1" applyAlignment="1">
      <alignment vertical="center"/>
    </xf>
    <xf numFmtId="0" fontId="6" fillId="5" borderId="6" xfId="0" applyFont="1" applyFill="1" applyBorder="1" applyAlignment="1">
      <alignment horizontal="center"/>
    </xf>
    <xf numFmtId="0" fontId="5" fillId="5" borderId="21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2" fillId="5" borderId="20" xfId="0" applyFont="1" applyFill="1" applyBorder="1"/>
    <xf numFmtId="0" fontId="4" fillId="5" borderId="20" xfId="0" applyFont="1" applyFill="1" applyBorder="1" applyAlignment="1">
      <alignment horizontal="center"/>
    </xf>
    <xf numFmtId="0" fontId="2" fillId="5" borderId="20" xfId="0" applyFont="1" applyFill="1" applyBorder="1" applyAlignment="1">
      <alignment vertical="center"/>
    </xf>
    <xf numFmtId="0" fontId="2" fillId="5" borderId="20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5" borderId="12" xfId="0" applyFont="1" applyFill="1" applyBorder="1" applyAlignment="1">
      <alignment horizontal="center"/>
    </xf>
    <xf numFmtId="0" fontId="2" fillId="5" borderId="13" xfId="0" applyFont="1" applyFill="1" applyBorder="1"/>
    <xf numFmtId="0" fontId="6" fillId="0" borderId="7" xfId="0" applyFont="1" applyBorder="1"/>
    <xf numFmtId="0" fontId="6" fillId="0" borderId="8" xfId="0" applyFont="1" applyBorder="1"/>
    <xf numFmtId="0" fontId="2" fillId="2" borderId="22" xfId="0" applyFont="1" applyFill="1" applyBorder="1"/>
    <xf numFmtId="0" fontId="5" fillId="5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2" fillId="5" borderId="11" xfId="0" applyFont="1" applyFill="1" applyBorder="1"/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vertical="center"/>
    </xf>
    <xf numFmtId="0" fontId="2" fillId="5" borderId="8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164" fontId="0" fillId="0" borderId="13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6" fillId="0" borderId="23" xfId="0" applyFont="1" applyBorder="1" applyAlignment="1">
      <alignment horizontal="center" vertical="center"/>
    </xf>
    <xf numFmtId="1" fontId="31" fillId="6" borderId="11" xfId="0" applyNumberFormat="1" applyFont="1" applyFill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1" fontId="31" fillId="0" borderId="24" xfId="0" applyNumberFormat="1" applyFont="1" applyBorder="1" applyAlignment="1">
      <alignment horizontal="center" vertical="center"/>
    </xf>
    <xf numFmtId="1" fontId="31" fillId="0" borderId="25" xfId="0" applyNumberFormat="1" applyFont="1" applyBorder="1" applyAlignment="1">
      <alignment horizontal="center" vertical="center"/>
    </xf>
    <xf numFmtId="0" fontId="31" fillId="5" borderId="12" xfId="0" applyFont="1" applyFill="1" applyBorder="1" applyAlignment="1">
      <alignment horizontal="center" vertical="center"/>
    </xf>
    <xf numFmtId="1" fontId="31" fillId="5" borderId="12" xfId="0" applyNumberFormat="1" applyFont="1" applyFill="1" applyBorder="1" applyAlignment="1">
      <alignment horizontal="center" vertical="center"/>
    </xf>
    <xf numFmtId="1" fontId="31" fillId="5" borderId="13" xfId="0" applyNumberFormat="1" applyFont="1" applyFill="1" applyBorder="1" applyAlignment="1">
      <alignment horizontal="center" vertical="center"/>
    </xf>
    <xf numFmtId="0" fontId="13" fillId="8" borderId="19" xfId="0" applyFont="1" applyFill="1" applyBorder="1" applyAlignment="1">
      <alignment horizontal="center" vertical="center"/>
    </xf>
    <xf numFmtId="1" fontId="34" fillId="0" borderId="12" xfId="0" applyNumberFormat="1" applyFont="1" applyBorder="1" applyAlignment="1">
      <alignment horizontal="center" vertical="center"/>
    </xf>
    <xf numFmtId="1" fontId="34" fillId="0" borderId="13" xfId="0" applyNumberFormat="1" applyFont="1" applyBorder="1" applyAlignment="1">
      <alignment horizontal="center" vertical="center"/>
    </xf>
    <xf numFmtId="1" fontId="34" fillId="0" borderId="5" xfId="0" applyNumberFormat="1" applyFont="1" applyBorder="1" applyAlignment="1">
      <alignment horizontal="center" vertical="center"/>
    </xf>
    <xf numFmtId="1" fontId="34" fillId="0" borderId="7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6" fillId="5" borderId="5" xfId="0" applyFont="1" applyFill="1" applyBorder="1" applyAlignment="1">
      <alignment horizontal="left"/>
    </xf>
    <xf numFmtId="0" fontId="6" fillId="5" borderId="5" xfId="0" applyFont="1" applyFill="1" applyBorder="1"/>
    <xf numFmtId="0" fontId="6" fillId="5" borderId="7" xfId="0" applyFont="1" applyFill="1" applyBorder="1"/>
    <xf numFmtId="0" fontId="34" fillId="5" borderId="5" xfId="0" applyFont="1" applyFill="1" applyBorder="1" applyAlignment="1">
      <alignment horizontal="center" vertical="center"/>
    </xf>
    <xf numFmtId="0" fontId="31" fillId="0" borderId="24" xfId="0" applyFont="1" applyBorder="1" applyAlignment="1">
      <alignment horizontal="right" vertical="center"/>
    </xf>
    <xf numFmtId="0" fontId="31" fillId="5" borderId="18" xfId="0" applyFont="1" applyFill="1" applyBorder="1" applyAlignment="1">
      <alignment horizontal="right" vertical="center"/>
    </xf>
    <xf numFmtId="0" fontId="31" fillId="5" borderId="12" xfId="0" applyFont="1" applyFill="1" applyBorder="1" applyAlignment="1">
      <alignment horizontal="right" vertical="center"/>
    </xf>
    <xf numFmtId="0" fontId="31" fillId="6" borderId="9" xfId="0" applyFont="1" applyFill="1" applyBorder="1" applyAlignment="1">
      <alignment horizontal="right" vertical="center"/>
    </xf>
    <xf numFmtId="0" fontId="31" fillId="6" borderId="11" xfId="0" applyFont="1" applyFill="1" applyBorder="1" applyAlignment="1">
      <alignment horizontal="right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1" fillId="0" borderId="11" xfId="0" applyFont="1" applyBorder="1" applyAlignment="1">
      <alignment horizontal="right" vertical="center"/>
    </xf>
    <xf numFmtId="0" fontId="31" fillId="4" borderId="27" xfId="0" applyFont="1" applyFill="1" applyBorder="1" applyAlignment="1">
      <alignment horizontal="center"/>
    </xf>
    <xf numFmtId="0" fontId="31" fillId="4" borderId="0" xfId="0" applyFont="1" applyFill="1" applyAlignment="1">
      <alignment horizontal="center"/>
    </xf>
    <xf numFmtId="0" fontId="31" fillId="4" borderId="37" xfId="0" applyFont="1" applyFill="1" applyBorder="1" applyAlignment="1">
      <alignment horizontal="center"/>
    </xf>
    <xf numFmtId="0" fontId="31" fillId="6" borderId="14" xfId="0" applyFont="1" applyFill="1" applyBorder="1" applyAlignment="1">
      <alignment horizontal="right" vertical="center"/>
    </xf>
    <xf numFmtId="0" fontId="31" fillId="6" borderId="15" xfId="0" applyFont="1" applyFill="1" applyBorder="1" applyAlignment="1">
      <alignment horizontal="right" vertical="center"/>
    </xf>
    <xf numFmtId="0" fontId="31" fillId="6" borderId="10" xfId="0" applyFont="1" applyFill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31" fillId="5" borderId="41" xfId="0" applyFont="1" applyFill="1" applyBorder="1" applyAlignment="1">
      <alignment horizontal="right" vertical="center"/>
    </xf>
    <xf numFmtId="0" fontId="31" fillId="5" borderId="42" xfId="0" applyFont="1" applyFill="1" applyBorder="1" applyAlignment="1">
      <alignment horizontal="right" vertical="center"/>
    </xf>
    <xf numFmtId="0" fontId="31" fillId="5" borderId="43" xfId="0" applyFont="1" applyFill="1" applyBorder="1" applyAlignment="1">
      <alignment horizontal="right" vertical="center"/>
    </xf>
    <xf numFmtId="0" fontId="6" fillId="0" borderId="21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31" fillId="0" borderId="48" xfId="0" applyFont="1" applyBorder="1" applyAlignment="1">
      <alignment horizontal="right" vertical="center"/>
    </xf>
    <xf numFmtId="0" fontId="0" fillId="0" borderId="1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11" fillId="5" borderId="0" xfId="0" applyFont="1" applyFill="1" applyAlignment="1">
      <alignment horizontal="center"/>
    </xf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  <cellStyle name="표준_CV75-R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16</xdr:col>
      <xdr:colOff>595204</xdr:colOff>
      <xdr:row>38</xdr:row>
      <xdr:rowOff>61536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10540"/>
          <a:ext cx="9739204" cy="66452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16</xdr:col>
      <xdr:colOff>511377</xdr:colOff>
      <xdr:row>75</xdr:row>
      <xdr:rowOff>175846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277100"/>
          <a:ext cx="9655377" cy="6759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"/>
  <sheetViews>
    <sheetView workbookViewId="0">
      <selection activeCell="H30" sqref="H30"/>
    </sheetView>
  </sheetViews>
  <sheetFormatPr defaultRowHeight="15"/>
  <cols>
    <col min="2" max="2" width="17" style="9" bestFit="1" customWidth="1"/>
    <col min="3" max="3" width="9.28515625" style="9" customWidth="1"/>
    <col min="4" max="4" width="48.85546875" customWidth="1"/>
    <col min="5" max="5" width="12.140625" style="9" customWidth="1"/>
    <col min="6" max="6" width="17.42578125" style="9" customWidth="1"/>
    <col min="7" max="7" width="16.5703125" style="9" bestFit="1" customWidth="1"/>
    <col min="8" max="8" width="16.7109375" style="18" bestFit="1" customWidth="1"/>
    <col min="9" max="9" width="9.140625" style="9"/>
    <col min="10" max="10" width="14" style="9" bestFit="1" customWidth="1"/>
    <col min="236" max="236" width="9.28515625" customWidth="1"/>
    <col min="237" max="237" width="35.5703125" bestFit="1" customWidth="1"/>
    <col min="238" max="240" width="17.42578125" customWidth="1"/>
    <col min="241" max="241" width="16.7109375" bestFit="1" customWidth="1"/>
    <col min="243" max="243" width="12" bestFit="1" customWidth="1"/>
    <col min="492" max="492" width="9.28515625" customWidth="1"/>
    <col min="493" max="493" width="35.5703125" bestFit="1" customWidth="1"/>
    <col min="494" max="496" width="17.42578125" customWidth="1"/>
    <col min="497" max="497" width="16.7109375" bestFit="1" customWidth="1"/>
    <col min="499" max="499" width="12" bestFit="1" customWidth="1"/>
    <col min="748" max="748" width="9.28515625" customWidth="1"/>
    <col min="749" max="749" width="35.5703125" bestFit="1" customWidth="1"/>
    <col min="750" max="752" width="17.42578125" customWidth="1"/>
    <col min="753" max="753" width="16.7109375" bestFit="1" customWidth="1"/>
    <col min="755" max="755" width="12" bestFit="1" customWidth="1"/>
    <col min="1004" max="1004" width="9.28515625" customWidth="1"/>
    <col min="1005" max="1005" width="35.5703125" bestFit="1" customWidth="1"/>
    <col min="1006" max="1008" width="17.42578125" customWidth="1"/>
    <col min="1009" max="1009" width="16.7109375" bestFit="1" customWidth="1"/>
    <col min="1011" max="1011" width="12" bestFit="1" customWidth="1"/>
    <col min="1260" max="1260" width="9.28515625" customWidth="1"/>
    <col min="1261" max="1261" width="35.5703125" bestFit="1" customWidth="1"/>
    <col min="1262" max="1264" width="17.42578125" customWidth="1"/>
    <col min="1265" max="1265" width="16.7109375" bestFit="1" customWidth="1"/>
    <col min="1267" max="1267" width="12" bestFit="1" customWidth="1"/>
    <col min="1516" max="1516" width="9.28515625" customWidth="1"/>
    <col min="1517" max="1517" width="35.5703125" bestFit="1" customWidth="1"/>
    <col min="1518" max="1520" width="17.42578125" customWidth="1"/>
    <col min="1521" max="1521" width="16.7109375" bestFit="1" customWidth="1"/>
    <col min="1523" max="1523" width="12" bestFit="1" customWidth="1"/>
    <col min="1772" max="1772" width="9.28515625" customWidth="1"/>
    <col min="1773" max="1773" width="35.5703125" bestFit="1" customWidth="1"/>
    <col min="1774" max="1776" width="17.42578125" customWidth="1"/>
    <col min="1777" max="1777" width="16.7109375" bestFit="1" customWidth="1"/>
    <col min="1779" max="1779" width="12" bestFit="1" customWidth="1"/>
    <col min="2028" max="2028" width="9.28515625" customWidth="1"/>
    <col min="2029" max="2029" width="35.5703125" bestFit="1" customWidth="1"/>
    <col min="2030" max="2032" width="17.42578125" customWidth="1"/>
    <col min="2033" max="2033" width="16.7109375" bestFit="1" customWidth="1"/>
    <col min="2035" max="2035" width="12" bestFit="1" customWidth="1"/>
    <col min="2284" max="2284" width="9.28515625" customWidth="1"/>
    <col min="2285" max="2285" width="35.5703125" bestFit="1" customWidth="1"/>
    <col min="2286" max="2288" width="17.42578125" customWidth="1"/>
    <col min="2289" max="2289" width="16.7109375" bestFit="1" customWidth="1"/>
    <col min="2291" max="2291" width="12" bestFit="1" customWidth="1"/>
    <col min="2540" max="2540" width="9.28515625" customWidth="1"/>
    <col min="2541" max="2541" width="35.5703125" bestFit="1" customWidth="1"/>
    <col min="2542" max="2544" width="17.42578125" customWidth="1"/>
    <col min="2545" max="2545" width="16.7109375" bestFit="1" customWidth="1"/>
    <col min="2547" max="2547" width="12" bestFit="1" customWidth="1"/>
    <col min="2796" max="2796" width="9.28515625" customWidth="1"/>
    <col min="2797" max="2797" width="35.5703125" bestFit="1" customWidth="1"/>
    <col min="2798" max="2800" width="17.42578125" customWidth="1"/>
    <col min="2801" max="2801" width="16.7109375" bestFit="1" customWidth="1"/>
    <col min="2803" max="2803" width="12" bestFit="1" customWidth="1"/>
    <col min="3052" max="3052" width="9.28515625" customWidth="1"/>
    <col min="3053" max="3053" width="35.5703125" bestFit="1" customWidth="1"/>
    <col min="3054" max="3056" width="17.42578125" customWidth="1"/>
    <col min="3057" max="3057" width="16.7109375" bestFit="1" customWidth="1"/>
    <col min="3059" max="3059" width="12" bestFit="1" customWidth="1"/>
    <col min="3308" max="3308" width="9.28515625" customWidth="1"/>
    <col min="3309" max="3309" width="35.5703125" bestFit="1" customWidth="1"/>
    <col min="3310" max="3312" width="17.42578125" customWidth="1"/>
    <col min="3313" max="3313" width="16.7109375" bestFit="1" customWidth="1"/>
    <col min="3315" max="3315" width="12" bestFit="1" customWidth="1"/>
    <col min="3564" max="3564" width="9.28515625" customWidth="1"/>
    <col min="3565" max="3565" width="35.5703125" bestFit="1" customWidth="1"/>
    <col min="3566" max="3568" width="17.42578125" customWidth="1"/>
    <col min="3569" max="3569" width="16.7109375" bestFit="1" customWidth="1"/>
    <col min="3571" max="3571" width="12" bestFit="1" customWidth="1"/>
    <col min="3820" max="3820" width="9.28515625" customWidth="1"/>
    <col min="3821" max="3821" width="35.5703125" bestFit="1" customWidth="1"/>
    <col min="3822" max="3824" width="17.42578125" customWidth="1"/>
    <col min="3825" max="3825" width="16.7109375" bestFit="1" customWidth="1"/>
    <col min="3827" max="3827" width="12" bestFit="1" customWidth="1"/>
    <col min="4076" max="4076" width="9.28515625" customWidth="1"/>
    <col min="4077" max="4077" width="35.5703125" bestFit="1" customWidth="1"/>
    <col min="4078" max="4080" width="17.42578125" customWidth="1"/>
    <col min="4081" max="4081" width="16.7109375" bestFit="1" customWidth="1"/>
    <col min="4083" max="4083" width="12" bestFit="1" customWidth="1"/>
    <col min="4332" max="4332" width="9.28515625" customWidth="1"/>
    <col min="4333" max="4333" width="35.5703125" bestFit="1" customWidth="1"/>
    <col min="4334" max="4336" width="17.42578125" customWidth="1"/>
    <col min="4337" max="4337" width="16.7109375" bestFit="1" customWidth="1"/>
    <col min="4339" max="4339" width="12" bestFit="1" customWidth="1"/>
    <col min="4588" max="4588" width="9.28515625" customWidth="1"/>
    <col min="4589" max="4589" width="35.5703125" bestFit="1" customWidth="1"/>
    <col min="4590" max="4592" width="17.42578125" customWidth="1"/>
    <col min="4593" max="4593" width="16.7109375" bestFit="1" customWidth="1"/>
    <col min="4595" max="4595" width="12" bestFit="1" customWidth="1"/>
    <col min="4844" max="4844" width="9.28515625" customWidth="1"/>
    <col min="4845" max="4845" width="35.5703125" bestFit="1" customWidth="1"/>
    <col min="4846" max="4848" width="17.42578125" customWidth="1"/>
    <col min="4849" max="4849" width="16.7109375" bestFit="1" customWidth="1"/>
    <col min="4851" max="4851" width="12" bestFit="1" customWidth="1"/>
    <col min="5100" max="5100" width="9.28515625" customWidth="1"/>
    <col min="5101" max="5101" width="35.5703125" bestFit="1" customWidth="1"/>
    <col min="5102" max="5104" width="17.42578125" customWidth="1"/>
    <col min="5105" max="5105" width="16.7109375" bestFit="1" customWidth="1"/>
    <col min="5107" max="5107" width="12" bestFit="1" customWidth="1"/>
    <col min="5356" max="5356" width="9.28515625" customWidth="1"/>
    <col min="5357" max="5357" width="35.5703125" bestFit="1" customWidth="1"/>
    <col min="5358" max="5360" width="17.42578125" customWidth="1"/>
    <col min="5361" max="5361" width="16.7109375" bestFit="1" customWidth="1"/>
    <col min="5363" max="5363" width="12" bestFit="1" customWidth="1"/>
    <col min="5612" max="5612" width="9.28515625" customWidth="1"/>
    <col min="5613" max="5613" width="35.5703125" bestFit="1" customWidth="1"/>
    <col min="5614" max="5616" width="17.42578125" customWidth="1"/>
    <col min="5617" max="5617" width="16.7109375" bestFit="1" customWidth="1"/>
    <col min="5619" max="5619" width="12" bestFit="1" customWidth="1"/>
    <col min="5868" max="5868" width="9.28515625" customWidth="1"/>
    <col min="5869" max="5869" width="35.5703125" bestFit="1" customWidth="1"/>
    <col min="5870" max="5872" width="17.42578125" customWidth="1"/>
    <col min="5873" max="5873" width="16.7109375" bestFit="1" customWidth="1"/>
    <col min="5875" max="5875" width="12" bestFit="1" customWidth="1"/>
    <col min="6124" max="6124" width="9.28515625" customWidth="1"/>
    <col min="6125" max="6125" width="35.5703125" bestFit="1" customWidth="1"/>
    <col min="6126" max="6128" width="17.42578125" customWidth="1"/>
    <col min="6129" max="6129" width="16.7109375" bestFit="1" customWidth="1"/>
    <col min="6131" max="6131" width="12" bestFit="1" customWidth="1"/>
    <col min="6380" max="6380" width="9.28515625" customWidth="1"/>
    <col min="6381" max="6381" width="35.5703125" bestFit="1" customWidth="1"/>
    <col min="6382" max="6384" width="17.42578125" customWidth="1"/>
    <col min="6385" max="6385" width="16.7109375" bestFit="1" customWidth="1"/>
    <col min="6387" max="6387" width="12" bestFit="1" customWidth="1"/>
    <col min="6636" max="6636" width="9.28515625" customWidth="1"/>
    <col min="6637" max="6637" width="35.5703125" bestFit="1" customWidth="1"/>
    <col min="6638" max="6640" width="17.42578125" customWidth="1"/>
    <col min="6641" max="6641" width="16.7109375" bestFit="1" customWidth="1"/>
    <col min="6643" max="6643" width="12" bestFit="1" customWidth="1"/>
    <col min="6892" max="6892" width="9.28515625" customWidth="1"/>
    <col min="6893" max="6893" width="35.5703125" bestFit="1" customWidth="1"/>
    <col min="6894" max="6896" width="17.42578125" customWidth="1"/>
    <col min="6897" max="6897" width="16.7109375" bestFit="1" customWidth="1"/>
    <col min="6899" max="6899" width="12" bestFit="1" customWidth="1"/>
    <col min="7148" max="7148" width="9.28515625" customWidth="1"/>
    <col min="7149" max="7149" width="35.5703125" bestFit="1" customWidth="1"/>
    <col min="7150" max="7152" width="17.42578125" customWidth="1"/>
    <col min="7153" max="7153" width="16.7109375" bestFit="1" customWidth="1"/>
    <col min="7155" max="7155" width="12" bestFit="1" customWidth="1"/>
    <col min="7404" max="7404" width="9.28515625" customWidth="1"/>
    <col min="7405" max="7405" width="35.5703125" bestFit="1" customWidth="1"/>
    <col min="7406" max="7408" width="17.42578125" customWidth="1"/>
    <col min="7409" max="7409" width="16.7109375" bestFit="1" customWidth="1"/>
    <col min="7411" max="7411" width="12" bestFit="1" customWidth="1"/>
    <col min="7660" max="7660" width="9.28515625" customWidth="1"/>
    <col min="7661" max="7661" width="35.5703125" bestFit="1" customWidth="1"/>
    <col min="7662" max="7664" width="17.42578125" customWidth="1"/>
    <col min="7665" max="7665" width="16.7109375" bestFit="1" customWidth="1"/>
    <col min="7667" max="7667" width="12" bestFit="1" customWidth="1"/>
    <col min="7916" max="7916" width="9.28515625" customWidth="1"/>
    <col min="7917" max="7917" width="35.5703125" bestFit="1" customWidth="1"/>
    <col min="7918" max="7920" width="17.42578125" customWidth="1"/>
    <col min="7921" max="7921" width="16.7109375" bestFit="1" customWidth="1"/>
    <col min="7923" max="7923" width="12" bestFit="1" customWidth="1"/>
    <col min="8172" max="8172" width="9.28515625" customWidth="1"/>
    <col min="8173" max="8173" width="35.5703125" bestFit="1" customWidth="1"/>
    <col min="8174" max="8176" width="17.42578125" customWidth="1"/>
    <col min="8177" max="8177" width="16.7109375" bestFit="1" customWidth="1"/>
    <col min="8179" max="8179" width="12" bestFit="1" customWidth="1"/>
    <col min="8428" max="8428" width="9.28515625" customWidth="1"/>
    <col min="8429" max="8429" width="35.5703125" bestFit="1" customWidth="1"/>
    <col min="8430" max="8432" width="17.42578125" customWidth="1"/>
    <col min="8433" max="8433" width="16.7109375" bestFit="1" customWidth="1"/>
    <col min="8435" max="8435" width="12" bestFit="1" customWidth="1"/>
    <col min="8684" max="8684" width="9.28515625" customWidth="1"/>
    <col min="8685" max="8685" width="35.5703125" bestFit="1" customWidth="1"/>
    <col min="8686" max="8688" width="17.42578125" customWidth="1"/>
    <col min="8689" max="8689" width="16.7109375" bestFit="1" customWidth="1"/>
    <col min="8691" max="8691" width="12" bestFit="1" customWidth="1"/>
    <col min="8940" max="8940" width="9.28515625" customWidth="1"/>
    <col min="8941" max="8941" width="35.5703125" bestFit="1" customWidth="1"/>
    <col min="8942" max="8944" width="17.42578125" customWidth="1"/>
    <col min="8945" max="8945" width="16.7109375" bestFit="1" customWidth="1"/>
    <col min="8947" max="8947" width="12" bestFit="1" customWidth="1"/>
    <col min="9196" max="9196" width="9.28515625" customWidth="1"/>
    <col min="9197" max="9197" width="35.5703125" bestFit="1" customWidth="1"/>
    <col min="9198" max="9200" width="17.42578125" customWidth="1"/>
    <col min="9201" max="9201" width="16.7109375" bestFit="1" customWidth="1"/>
    <col min="9203" max="9203" width="12" bestFit="1" customWidth="1"/>
    <col min="9452" max="9452" width="9.28515625" customWidth="1"/>
    <col min="9453" max="9453" width="35.5703125" bestFit="1" customWidth="1"/>
    <col min="9454" max="9456" width="17.42578125" customWidth="1"/>
    <col min="9457" max="9457" width="16.7109375" bestFit="1" customWidth="1"/>
    <col min="9459" max="9459" width="12" bestFit="1" customWidth="1"/>
    <col min="9708" max="9708" width="9.28515625" customWidth="1"/>
    <col min="9709" max="9709" width="35.5703125" bestFit="1" customWidth="1"/>
    <col min="9710" max="9712" width="17.42578125" customWidth="1"/>
    <col min="9713" max="9713" width="16.7109375" bestFit="1" customWidth="1"/>
    <col min="9715" max="9715" width="12" bestFit="1" customWidth="1"/>
    <col min="9964" max="9964" width="9.28515625" customWidth="1"/>
    <col min="9965" max="9965" width="35.5703125" bestFit="1" customWidth="1"/>
    <col min="9966" max="9968" width="17.42578125" customWidth="1"/>
    <col min="9969" max="9969" width="16.7109375" bestFit="1" customWidth="1"/>
    <col min="9971" max="9971" width="12" bestFit="1" customWidth="1"/>
    <col min="10220" max="10220" width="9.28515625" customWidth="1"/>
    <col min="10221" max="10221" width="35.5703125" bestFit="1" customWidth="1"/>
    <col min="10222" max="10224" width="17.42578125" customWidth="1"/>
    <col min="10225" max="10225" width="16.7109375" bestFit="1" customWidth="1"/>
    <col min="10227" max="10227" width="12" bestFit="1" customWidth="1"/>
    <col min="10476" max="10476" width="9.28515625" customWidth="1"/>
    <col min="10477" max="10477" width="35.5703125" bestFit="1" customWidth="1"/>
    <col min="10478" max="10480" width="17.42578125" customWidth="1"/>
    <col min="10481" max="10481" width="16.7109375" bestFit="1" customWidth="1"/>
    <col min="10483" max="10483" width="12" bestFit="1" customWidth="1"/>
    <col min="10732" max="10732" width="9.28515625" customWidth="1"/>
    <col min="10733" max="10733" width="35.5703125" bestFit="1" customWidth="1"/>
    <col min="10734" max="10736" width="17.42578125" customWidth="1"/>
    <col min="10737" max="10737" width="16.7109375" bestFit="1" customWidth="1"/>
    <col min="10739" max="10739" width="12" bestFit="1" customWidth="1"/>
    <col min="10988" max="10988" width="9.28515625" customWidth="1"/>
    <col min="10989" max="10989" width="35.5703125" bestFit="1" customWidth="1"/>
    <col min="10990" max="10992" width="17.42578125" customWidth="1"/>
    <col min="10993" max="10993" width="16.7109375" bestFit="1" customWidth="1"/>
    <col min="10995" max="10995" width="12" bestFit="1" customWidth="1"/>
    <col min="11244" max="11244" width="9.28515625" customWidth="1"/>
    <col min="11245" max="11245" width="35.5703125" bestFit="1" customWidth="1"/>
    <col min="11246" max="11248" width="17.42578125" customWidth="1"/>
    <col min="11249" max="11249" width="16.7109375" bestFit="1" customWidth="1"/>
    <col min="11251" max="11251" width="12" bestFit="1" customWidth="1"/>
    <col min="11500" max="11500" width="9.28515625" customWidth="1"/>
    <col min="11501" max="11501" width="35.5703125" bestFit="1" customWidth="1"/>
    <col min="11502" max="11504" width="17.42578125" customWidth="1"/>
    <col min="11505" max="11505" width="16.7109375" bestFit="1" customWidth="1"/>
    <col min="11507" max="11507" width="12" bestFit="1" customWidth="1"/>
    <col min="11756" max="11756" width="9.28515625" customWidth="1"/>
    <col min="11757" max="11757" width="35.5703125" bestFit="1" customWidth="1"/>
    <col min="11758" max="11760" width="17.42578125" customWidth="1"/>
    <col min="11761" max="11761" width="16.7109375" bestFit="1" customWidth="1"/>
    <col min="11763" max="11763" width="12" bestFit="1" customWidth="1"/>
    <col min="12012" max="12012" width="9.28515625" customWidth="1"/>
    <col min="12013" max="12013" width="35.5703125" bestFit="1" customWidth="1"/>
    <col min="12014" max="12016" width="17.42578125" customWidth="1"/>
    <col min="12017" max="12017" width="16.7109375" bestFit="1" customWidth="1"/>
    <col min="12019" max="12019" width="12" bestFit="1" customWidth="1"/>
    <col min="12268" max="12268" width="9.28515625" customWidth="1"/>
    <col min="12269" max="12269" width="35.5703125" bestFit="1" customWidth="1"/>
    <col min="12270" max="12272" width="17.42578125" customWidth="1"/>
    <col min="12273" max="12273" width="16.7109375" bestFit="1" customWidth="1"/>
    <col min="12275" max="12275" width="12" bestFit="1" customWidth="1"/>
    <col min="12524" max="12524" width="9.28515625" customWidth="1"/>
    <col min="12525" max="12525" width="35.5703125" bestFit="1" customWidth="1"/>
    <col min="12526" max="12528" width="17.42578125" customWidth="1"/>
    <col min="12529" max="12529" width="16.7109375" bestFit="1" customWidth="1"/>
    <col min="12531" max="12531" width="12" bestFit="1" customWidth="1"/>
    <col min="12780" max="12780" width="9.28515625" customWidth="1"/>
    <col min="12781" max="12781" width="35.5703125" bestFit="1" customWidth="1"/>
    <col min="12782" max="12784" width="17.42578125" customWidth="1"/>
    <col min="12785" max="12785" width="16.7109375" bestFit="1" customWidth="1"/>
    <col min="12787" max="12787" width="12" bestFit="1" customWidth="1"/>
    <col min="13036" max="13036" width="9.28515625" customWidth="1"/>
    <col min="13037" max="13037" width="35.5703125" bestFit="1" customWidth="1"/>
    <col min="13038" max="13040" width="17.42578125" customWidth="1"/>
    <col min="13041" max="13041" width="16.7109375" bestFit="1" customWidth="1"/>
    <col min="13043" max="13043" width="12" bestFit="1" customWidth="1"/>
    <col min="13292" max="13292" width="9.28515625" customWidth="1"/>
    <col min="13293" max="13293" width="35.5703125" bestFit="1" customWidth="1"/>
    <col min="13294" max="13296" width="17.42578125" customWidth="1"/>
    <col min="13297" max="13297" width="16.7109375" bestFit="1" customWidth="1"/>
    <col min="13299" max="13299" width="12" bestFit="1" customWidth="1"/>
    <col min="13548" max="13548" width="9.28515625" customWidth="1"/>
    <col min="13549" max="13549" width="35.5703125" bestFit="1" customWidth="1"/>
    <col min="13550" max="13552" width="17.42578125" customWidth="1"/>
    <col min="13553" max="13553" width="16.7109375" bestFit="1" customWidth="1"/>
    <col min="13555" max="13555" width="12" bestFit="1" customWidth="1"/>
    <col min="13804" max="13804" width="9.28515625" customWidth="1"/>
    <col min="13805" max="13805" width="35.5703125" bestFit="1" customWidth="1"/>
    <col min="13806" max="13808" width="17.42578125" customWidth="1"/>
    <col min="13809" max="13809" width="16.7109375" bestFit="1" customWidth="1"/>
    <col min="13811" max="13811" width="12" bestFit="1" customWidth="1"/>
    <col min="14060" max="14060" width="9.28515625" customWidth="1"/>
    <col min="14061" max="14061" width="35.5703125" bestFit="1" customWidth="1"/>
    <col min="14062" max="14064" width="17.42578125" customWidth="1"/>
    <col min="14065" max="14065" width="16.7109375" bestFit="1" customWidth="1"/>
    <col min="14067" max="14067" width="12" bestFit="1" customWidth="1"/>
    <col min="14316" max="14316" width="9.28515625" customWidth="1"/>
    <col min="14317" max="14317" width="35.5703125" bestFit="1" customWidth="1"/>
    <col min="14318" max="14320" width="17.42578125" customWidth="1"/>
    <col min="14321" max="14321" width="16.7109375" bestFit="1" customWidth="1"/>
    <col min="14323" max="14323" width="12" bestFit="1" customWidth="1"/>
    <col min="14572" max="14572" width="9.28515625" customWidth="1"/>
    <col min="14573" max="14573" width="35.5703125" bestFit="1" customWidth="1"/>
    <col min="14574" max="14576" width="17.42578125" customWidth="1"/>
    <col min="14577" max="14577" width="16.7109375" bestFit="1" customWidth="1"/>
    <col min="14579" max="14579" width="12" bestFit="1" customWidth="1"/>
    <col min="14828" max="14828" width="9.28515625" customWidth="1"/>
    <col min="14829" max="14829" width="35.5703125" bestFit="1" customWidth="1"/>
    <col min="14830" max="14832" width="17.42578125" customWidth="1"/>
    <col min="14833" max="14833" width="16.7109375" bestFit="1" customWidth="1"/>
    <col min="14835" max="14835" width="12" bestFit="1" customWidth="1"/>
    <col min="15084" max="15084" width="9.28515625" customWidth="1"/>
    <col min="15085" max="15085" width="35.5703125" bestFit="1" customWidth="1"/>
    <col min="15086" max="15088" width="17.42578125" customWidth="1"/>
    <col min="15089" max="15089" width="16.7109375" bestFit="1" customWidth="1"/>
    <col min="15091" max="15091" width="12" bestFit="1" customWidth="1"/>
    <col min="15340" max="15340" width="9.28515625" customWidth="1"/>
    <col min="15341" max="15341" width="35.5703125" bestFit="1" customWidth="1"/>
    <col min="15342" max="15344" width="17.42578125" customWidth="1"/>
    <col min="15345" max="15345" width="16.7109375" bestFit="1" customWidth="1"/>
    <col min="15347" max="15347" width="12" bestFit="1" customWidth="1"/>
    <col min="15596" max="15596" width="9.28515625" customWidth="1"/>
    <col min="15597" max="15597" width="35.5703125" bestFit="1" customWidth="1"/>
    <col min="15598" max="15600" width="17.42578125" customWidth="1"/>
    <col min="15601" max="15601" width="16.7109375" bestFit="1" customWidth="1"/>
    <col min="15603" max="15603" width="12" bestFit="1" customWidth="1"/>
    <col min="15852" max="15852" width="9.28515625" customWidth="1"/>
    <col min="15853" max="15853" width="35.5703125" bestFit="1" customWidth="1"/>
    <col min="15854" max="15856" width="17.42578125" customWidth="1"/>
    <col min="15857" max="15857" width="16.7109375" bestFit="1" customWidth="1"/>
    <col min="15859" max="15859" width="12" bestFit="1" customWidth="1"/>
    <col min="16108" max="16108" width="9.28515625" customWidth="1"/>
    <col min="16109" max="16109" width="35.5703125" bestFit="1" customWidth="1"/>
    <col min="16110" max="16112" width="17.42578125" customWidth="1"/>
    <col min="16113" max="16113" width="16.7109375" bestFit="1" customWidth="1"/>
    <col min="16115" max="16115" width="12" bestFit="1" customWidth="1"/>
    <col min="16381" max="16381" width="9.140625" customWidth="1"/>
  </cols>
  <sheetData>
    <row r="1" spans="2:10">
      <c r="D1" s="11" t="s">
        <v>0</v>
      </c>
      <c r="E1" s="12">
        <v>0.8</v>
      </c>
      <c r="G1" s="189" t="s">
        <v>1</v>
      </c>
      <c r="H1" s="190"/>
      <c r="I1" s="190"/>
      <c r="J1" s="191"/>
    </row>
    <row r="2" spans="2:10">
      <c r="D2" s="11" t="s">
        <v>2</v>
      </c>
      <c r="E2" s="12">
        <v>0.8</v>
      </c>
      <c r="G2" s="13" t="s">
        <v>3</v>
      </c>
      <c r="H2" s="14">
        <f>SUM(H16,H21)</f>
        <v>144.98749999999998</v>
      </c>
      <c r="I2" s="15"/>
      <c r="J2" s="15"/>
    </row>
    <row r="3" spans="2:10">
      <c r="D3" s="11" t="s">
        <v>4</v>
      </c>
      <c r="E3" s="12">
        <v>415</v>
      </c>
      <c r="G3" s="13" t="s">
        <v>5</v>
      </c>
      <c r="H3" s="14">
        <f>(H2/$E$5)</f>
        <v>194.35321715817693</v>
      </c>
      <c r="I3" s="15"/>
      <c r="J3" s="15"/>
    </row>
    <row r="4" spans="2:10">
      <c r="D4" s="11" t="s">
        <v>6</v>
      </c>
      <c r="E4" s="12">
        <v>120</v>
      </c>
      <c r="G4" s="13" t="s">
        <v>7</v>
      </c>
      <c r="H4" s="14">
        <f>(H2*1000)/(1.73*$E$3*$E$2)</f>
        <v>252.43314297653035</v>
      </c>
      <c r="I4" s="15"/>
      <c r="J4" s="15"/>
    </row>
    <row r="5" spans="2:10">
      <c r="D5" s="11" t="s">
        <v>8</v>
      </c>
      <c r="E5" s="12">
        <v>0.746</v>
      </c>
      <c r="F5" s="16"/>
      <c r="G5" s="13" t="s">
        <v>9</v>
      </c>
      <c r="H5" s="14">
        <f>H2*$E$6</f>
        <v>178.33462499999999</v>
      </c>
      <c r="I5" s="15"/>
      <c r="J5" s="15"/>
    </row>
    <row r="6" spans="2:10">
      <c r="D6" s="11" t="s">
        <v>10</v>
      </c>
      <c r="E6" s="12">
        <v>1.23</v>
      </c>
      <c r="F6" s="16"/>
      <c r="G6" s="13" t="s">
        <v>11</v>
      </c>
      <c r="H6" s="14">
        <f>H3*$E$6</f>
        <v>239.05445710455763</v>
      </c>
      <c r="I6" s="15"/>
      <c r="J6" s="15"/>
    </row>
    <row r="7" spans="2:10">
      <c r="D7" s="11" t="s">
        <v>12</v>
      </c>
      <c r="E7" s="12">
        <v>0.8</v>
      </c>
      <c r="F7" s="16"/>
      <c r="G7" s="13" t="s">
        <v>13</v>
      </c>
      <c r="H7" s="14">
        <f>H4*$E$6</f>
        <v>310.49276586113234</v>
      </c>
      <c r="I7" s="15"/>
      <c r="J7" s="15"/>
    </row>
    <row r="8" spans="2:10" ht="15.75" thickBot="1">
      <c r="D8" s="17"/>
      <c r="E8" s="16"/>
      <c r="F8" s="16"/>
      <c r="I8" s="19"/>
    </row>
    <row r="9" spans="2:10" ht="15.75" thickBot="1">
      <c r="B9" s="192" t="s">
        <v>14</v>
      </c>
      <c r="C9" s="193"/>
      <c r="D9" s="193"/>
      <c r="E9" s="193"/>
      <c r="F9" s="193"/>
      <c r="G9" s="193"/>
      <c r="H9" s="193"/>
      <c r="I9" s="193"/>
      <c r="J9" s="194"/>
    </row>
    <row r="10" spans="2:10" ht="15.75" thickBot="1">
      <c r="B10" s="20" t="s">
        <v>15</v>
      </c>
      <c r="C10" s="174" t="s">
        <v>16</v>
      </c>
      <c r="D10" s="22" t="s">
        <v>17</v>
      </c>
      <c r="E10" s="23" t="s">
        <v>18</v>
      </c>
      <c r="F10" s="23" t="s">
        <v>19</v>
      </c>
      <c r="G10" s="23" t="s">
        <v>20</v>
      </c>
      <c r="H10" s="24" t="s">
        <v>21</v>
      </c>
      <c r="I10" s="23" t="s">
        <v>22</v>
      </c>
      <c r="J10" s="25" t="s">
        <v>23</v>
      </c>
    </row>
    <row r="11" spans="2:10">
      <c r="B11" s="195" t="s">
        <v>24</v>
      </c>
      <c r="C11" s="94">
        <v>1</v>
      </c>
      <c r="D11" s="95" t="s">
        <v>25</v>
      </c>
      <c r="E11" s="94" t="s">
        <v>26</v>
      </c>
      <c r="F11" s="97" t="s">
        <v>27</v>
      </c>
      <c r="G11" s="175">
        <f>'Chopper Zone Load'!G25</f>
        <v>14.787499999999998</v>
      </c>
      <c r="H11" s="175">
        <f>'Chopper Zone Load'!H25</f>
        <v>14.787499999999998</v>
      </c>
      <c r="I11" s="175">
        <f>'Chopper Zone Load'!I25</f>
        <v>19.822386058981238</v>
      </c>
      <c r="J11" s="176">
        <f>'Chopper Zone Load'!J25</f>
        <v>37.478115696040511</v>
      </c>
    </row>
    <row r="12" spans="2:10">
      <c r="B12" s="196"/>
      <c r="C12" s="13">
        <v>2</v>
      </c>
      <c r="D12" s="84" t="s">
        <v>28</v>
      </c>
      <c r="E12" s="13" t="s">
        <v>29</v>
      </c>
      <c r="F12" s="86" t="s">
        <v>27</v>
      </c>
      <c r="G12" s="86">
        <v>29</v>
      </c>
      <c r="H12" s="86">
        <f t="shared" ref="H12" si="0">G12</f>
        <v>29</v>
      </c>
      <c r="I12" s="87">
        <f t="shared" ref="I12" si="1">H12/$E$5</f>
        <v>38.873994638069703</v>
      </c>
      <c r="J12" s="162">
        <f t="shared" ref="J12" si="2">(H12*1000)/(1.732*$E$1*$E$2*$E$3)</f>
        <v>63.040846990734288</v>
      </c>
    </row>
    <row r="13" spans="2:10">
      <c r="B13" s="196"/>
      <c r="C13" s="13">
        <v>3</v>
      </c>
      <c r="D13" s="84" t="s">
        <v>30</v>
      </c>
      <c r="E13" s="13" t="s">
        <v>31</v>
      </c>
      <c r="F13" s="86" t="s">
        <v>27</v>
      </c>
      <c r="G13" s="86">
        <v>29</v>
      </c>
      <c r="H13" s="86">
        <f t="shared" ref="H13" si="3">G13</f>
        <v>29</v>
      </c>
      <c r="I13" s="87">
        <f t="shared" ref="I13" si="4">H13/$E$5</f>
        <v>38.873994638069703</v>
      </c>
      <c r="J13" s="162">
        <f t="shared" ref="J13" si="5">(H13*1000)/(1.732*$E$1*$E$2*$E$3)</f>
        <v>63.040846990734288</v>
      </c>
    </row>
    <row r="14" spans="2:10">
      <c r="B14" s="196"/>
      <c r="C14" s="13">
        <v>4</v>
      </c>
      <c r="D14" s="84" t="s">
        <v>32</v>
      </c>
      <c r="E14" s="13" t="s">
        <v>33</v>
      </c>
      <c r="F14" s="86" t="s">
        <v>27</v>
      </c>
      <c r="G14" s="177">
        <f>'Dryer Zone Load'!G27</f>
        <v>51.8</v>
      </c>
      <c r="H14" s="177">
        <f>'Dryer Zone Load'!H27</f>
        <v>51.8</v>
      </c>
      <c r="I14" s="177">
        <f>'Dryer Zone Load'!I27</f>
        <v>69.436997319034859</v>
      </c>
      <c r="J14" s="178">
        <f>'Dryer Zone Load'!J27</f>
        <v>117.10858677203038</v>
      </c>
    </row>
    <row r="15" spans="2:10">
      <c r="B15" s="196"/>
      <c r="C15" s="13">
        <v>5</v>
      </c>
      <c r="D15" s="84" t="s">
        <v>34</v>
      </c>
      <c r="E15" s="13" t="s">
        <v>35</v>
      </c>
      <c r="F15" s="86" t="s">
        <v>27</v>
      </c>
      <c r="G15" s="177">
        <f>'Packing Zone Load'!G34</f>
        <v>20</v>
      </c>
      <c r="H15" s="177">
        <f>'Packing Zone Load'!H34</f>
        <v>20</v>
      </c>
      <c r="I15" s="177">
        <f>'Packing Zone Load'!I34</f>
        <v>26.809651474530835</v>
      </c>
      <c r="J15" s="178">
        <f>'Packing Zone Load'!J34</f>
        <v>49.689818164111429</v>
      </c>
    </row>
    <row r="16" spans="2:10" ht="16.5" thickBot="1">
      <c r="B16" s="44"/>
      <c r="C16" s="197" t="s">
        <v>36</v>
      </c>
      <c r="D16" s="197"/>
      <c r="E16" s="197"/>
      <c r="F16" s="45"/>
      <c r="G16" s="46">
        <f>SUM(G11:G15)</f>
        <v>144.58749999999998</v>
      </c>
      <c r="H16" s="46">
        <f>SUM(H11:H15)</f>
        <v>144.58749999999998</v>
      </c>
      <c r="I16" s="46">
        <f>SUM(I11:I15)</f>
        <v>193.81702412868634</v>
      </c>
      <c r="J16" s="47">
        <f>SUM(J11:J15)</f>
        <v>330.35821461365094</v>
      </c>
    </row>
    <row r="17" spans="2:10" ht="16.5" thickBot="1">
      <c r="B17" s="198" t="s">
        <v>37</v>
      </c>
      <c r="C17" s="199"/>
      <c r="D17" s="199"/>
      <c r="E17" s="199"/>
      <c r="F17" s="199"/>
      <c r="G17" s="199"/>
      <c r="H17" s="199"/>
      <c r="I17" s="199"/>
      <c r="J17" s="200"/>
    </row>
    <row r="18" spans="2:10" ht="15.75">
      <c r="B18" s="34"/>
      <c r="C18" s="36" t="s">
        <v>16</v>
      </c>
      <c r="D18" s="35" t="s">
        <v>17</v>
      </c>
      <c r="E18" s="36" t="s">
        <v>18</v>
      </c>
      <c r="F18" s="36" t="s">
        <v>38</v>
      </c>
      <c r="G18" s="36" t="s">
        <v>20</v>
      </c>
      <c r="H18" s="37" t="s">
        <v>21</v>
      </c>
      <c r="I18" s="38" t="s">
        <v>22</v>
      </c>
      <c r="J18" s="39" t="s">
        <v>39</v>
      </c>
    </row>
    <row r="19" spans="2:10">
      <c r="B19" s="196" t="s">
        <v>40</v>
      </c>
      <c r="C19" s="13">
        <v>1</v>
      </c>
      <c r="D19" s="88" t="s">
        <v>41</v>
      </c>
      <c r="E19" s="86" t="s">
        <v>42</v>
      </c>
      <c r="F19" s="86">
        <v>0.5</v>
      </c>
      <c r="G19" s="41">
        <f>F19*$E$7</f>
        <v>0.4</v>
      </c>
      <c r="H19" s="86">
        <f>G19</f>
        <v>0.4</v>
      </c>
      <c r="I19" s="89">
        <f>H19/$E$5</f>
        <v>0.53619302949061665</v>
      </c>
      <c r="J19" s="56">
        <f>(F19*1000)/(1.732*$E$3)</f>
        <v>0.69562313920810259</v>
      </c>
    </row>
    <row r="20" spans="2:10">
      <c r="B20" s="196"/>
      <c r="C20" s="13"/>
      <c r="D20" s="88" t="s">
        <v>43</v>
      </c>
      <c r="E20" s="86"/>
      <c r="F20" s="86"/>
      <c r="G20" s="86"/>
      <c r="H20" s="86"/>
      <c r="I20" s="89"/>
      <c r="J20" s="90"/>
    </row>
    <row r="21" spans="2:10" ht="16.5" thickBot="1">
      <c r="B21" s="166"/>
      <c r="C21" s="184" t="s">
        <v>36</v>
      </c>
      <c r="D21" s="184"/>
      <c r="E21" s="184"/>
      <c r="F21" s="168"/>
      <c r="G21" s="169">
        <f>SUM(G19:G20)</f>
        <v>0.4</v>
      </c>
      <c r="H21" s="169">
        <f>SUM(H19:H20)</f>
        <v>0.4</v>
      </c>
      <c r="I21" s="169">
        <f>SUM(I19:I20)</f>
        <v>0.53619302949061665</v>
      </c>
      <c r="J21" s="170">
        <f>SUM(J19:J20)</f>
        <v>0.69562313920810259</v>
      </c>
    </row>
    <row r="22" spans="2:10" ht="15.75">
      <c r="B22" s="185" t="s">
        <v>44</v>
      </c>
      <c r="C22" s="186"/>
      <c r="D22" s="186"/>
      <c r="E22" s="186"/>
      <c r="F22" s="171"/>
      <c r="G22" s="172">
        <f>G16+G21</f>
        <v>144.98749999999998</v>
      </c>
      <c r="H22" s="172">
        <f>H16+H21</f>
        <v>144.98749999999998</v>
      </c>
      <c r="I22" s="172">
        <f>I16+I21</f>
        <v>194.35321715817696</v>
      </c>
      <c r="J22" s="173">
        <f>J16+J21</f>
        <v>331.05383775285907</v>
      </c>
    </row>
    <row r="23" spans="2:10" ht="16.5" thickBot="1">
      <c r="B23" s="187" t="s">
        <v>45</v>
      </c>
      <c r="C23" s="188"/>
      <c r="D23" s="188"/>
      <c r="E23" s="188"/>
      <c r="F23" s="51"/>
      <c r="G23" s="167">
        <f t="shared" ref="G23:I23" si="6">G22*$E$6</f>
        <v>178.33462499999999</v>
      </c>
      <c r="H23" s="167">
        <f t="shared" si="6"/>
        <v>178.33462499999999</v>
      </c>
      <c r="I23" s="167">
        <f t="shared" si="6"/>
        <v>239.05445710455766</v>
      </c>
      <c r="J23" s="52">
        <f t="shared" ref="J23" si="7">J22*$E$6</f>
        <v>407.19622043601663</v>
      </c>
    </row>
    <row r="24" spans="2:10">
      <c r="I24" s="53"/>
      <c r="J24" s="53"/>
    </row>
    <row r="25" spans="2:10" ht="15.75">
      <c r="D25" s="40"/>
      <c r="I25" s="53"/>
      <c r="J25" s="53"/>
    </row>
    <row r="26" spans="2:10">
      <c r="D26" s="70"/>
    </row>
  </sheetData>
  <mergeCells count="9">
    <mergeCell ref="C21:E21"/>
    <mergeCell ref="B22:E22"/>
    <mergeCell ref="B23:E23"/>
    <mergeCell ref="G1:J1"/>
    <mergeCell ref="B9:J9"/>
    <mergeCell ref="B11:B15"/>
    <mergeCell ref="C16:E16"/>
    <mergeCell ref="B17:J17"/>
    <mergeCell ref="B19:B20"/>
  </mergeCells>
  <dataValidations disablePrompts="1" count="5">
    <dataValidation type="decimal" operator="equal" allowBlank="1" showInputMessage="1" showErrorMessage="1" sqref="J20">
      <formula1>(G20*1000)/(1.73*$E$3)</formula1>
    </dataValidation>
    <dataValidation type="whole" allowBlank="1" showDropDown="1" showInputMessage="1" showErrorMessage="1" sqref="I12:I13">
      <formula1>H12/$E$5</formula1>
      <formula2>H12/$E$5</formula2>
    </dataValidation>
    <dataValidation type="list" allowBlank="1" showDropDown="1" showInputMessage="1" showErrorMessage="1" promptTitle="Calculation " sqref="H12:H13">
      <formula1>G12</formula1>
    </dataValidation>
    <dataValidation type="decimal" operator="equal" allowBlank="1" showInputMessage="1" showErrorMessage="1" sqref="H19:H20">
      <formula1>G19</formula1>
    </dataValidation>
    <dataValidation type="decimal" operator="equal" allowBlank="1" showInputMessage="1" showErrorMessage="1" sqref="I19:I20">
      <formula1>H19/$E$5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1"/>
  <sheetViews>
    <sheetView topLeftCell="B1" zoomScale="85" zoomScaleNormal="85" workbookViewId="0">
      <selection activeCell="E11" sqref="E11"/>
    </sheetView>
  </sheetViews>
  <sheetFormatPr defaultRowHeight="15"/>
  <cols>
    <col min="2" max="2" width="17" style="9" bestFit="1" customWidth="1"/>
    <col min="3" max="3" width="9.28515625" style="9" customWidth="1"/>
    <col min="4" max="4" width="48.85546875" customWidth="1"/>
    <col min="5" max="5" width="12.140625" style="9" customWidth="1"/>
    <col min="6" max="6" width="18" style="9" bestFit="1" customWidth="1"/>
    <col min="7" max="7" width="16.140625" style="9" bestFit="1" customWidth="1"/>
    <col min="8" max="8" width="10.85546875" style="18" bestFit="1" customWidth="1"/>
    <col min="9" max="9" width="9.140625" style="9"/>
    <col min="10" max="10" width="14" style="9" bestFit="1" customWidth="1"/>
    <col min="12" max="12" width="11.5703125" customWidth="1"/>
    <col min="239" max="239" width="9.28515625" customWidth="1"/>
    <col min="240" max="240" width="35.5703125" bestFit="1" customWidth="1"/>
    <col min="241" max="243" width="17.42578125" customWidth="1"/>
    <col min="244" max="244" width="16.7109375" bestFit="1" customWidth="1"/>
    <col min="246" max="246" width="12" bestFit="1" customWidth="1"/>
    <col min="495" max="495" width="9.28515625" customWidth="1"/>
    <col min="496" max="496" width="35.5703125" bestFit="1" customWidth="1"/>
    <col min="497" max="499" width="17.42578125" customWidth="1"/>
    <col min="500" max="500" width="16.7109375" bestFit="1" customWidth="1"/>
    <col min="502" max="502" width="12" bestFit="1" customWidth="1"/>
    <col min="751" max="751" width="9.28515625" customWidth="1"/>
    <col min="752" max="752" width="35.5703125" bestFit="1" customWidth="1"/>
    <col min="753" max="755" width="17.42578125" customWidth="1"/>
    <col min="756" max="756" width="16.7109375" bestFit="1" customWidth="1"/>
    <col min="758" max="758" width="12" bestFit="1" customWidth="1"/>
    <col min="1007" max="1007" width="9.28515625" customWidth="1"/>
    <col min="1008" max="1008" width="35.5703125" bestFit="1" customWidth="1"/>
    <col min="1009" max="1011" width="17.42578125" customWidth="1"/>
    <col min="1012" max="1012" width="16.7109375" bestFit="1" customWidth="1"/>
    <col min="1014" max="1014" width="12" bestFit="1" customWidth="1"/>
    <col min="1263" max="1263" width="9.28515625" customWidth="1"/>
    <col min="1264" max="1264" width="35.5703125" bestFit="1" customWidth="1"/>
    <col min="1265" max="1267" width="17.42578125" customWidth="1"/>
    <col min="1268" max="1268" width="16.7109375" bestFit="1" customWidth="1"/>
    <col min="1270" max="1270" width="12" bestFit="1" customWidth="1"/>
    <col min="1519" max="1519" width="9.28515625" customWidth="1"/>
    <col min="1520" max="1520" width="35.5703125" bestFit="1" customWidth="1"/>
    <col min="1521" max="1523" width="17.42578125" customWidth="1"/>
    <col min="1524" max="1524" width="16.7109375" bestFit="1" customWidth="1"/>
    <col min="1526" max="1526" width="12" bestFit="1" customWidth="1"/>
    <col min="1775" max="1775" width="9.28515625" customWidth="1"/>
    <col min="1776" max="1776" width="35.5703125" bestFit="1" customWidth="1"/>
    <col min="1777" max="1779" width="17.42578125" customWidth="1"/>
    <col min="1780" max="1780" width="16.7109375" bestFit="1" customWidth="1"/>
    <col min="1782" max="1782" width="12" bestFit="1" customWidth="1"/>
    <col min="2031" max="2031" width="9.28515625" customWidth="1"/>
    <col min="2032" max="2032" width="35.5703125" bestFit="1" customWidth="1"/>
    <col min="2033" max="2035" width="17.42578125" customWidth="1"/>
    <col min="2036" max="2036" width="16.7109375" bestFit="1" customWidth="1"/>
    <col min="2038" max="2038" width="12" bestFit="1" customWidth="1"/>
    <col min="2287" max="2287" width="9.28515625" customWidth="1"/>
    <col min="2288" max="2288" width="35.5703125" bestFit="1" customWidth="1"/>
    <col min="2289" max="2291" width="17.42578125" customWidth="1"/>
    <col min="2292" max="2292" width="16.7109375" bestFit="1" customWidth="1"/>
    <col min="2294" max="2294" width="12" bestFit="1" customWidth="1"/>
    <col min="2543" max="2543" width="9.28515625" customWidth="1"/>
    <col min="2544" max="2544" width="35.5703125" bestFit="1" customWidth="1"/>
    <col min="2545" max="2547" width="17.42578125" customWidth="1"/>
    <col min="2548" max="2548" width="16.7109375" bestFit="1" customWidth="1"/>
    <col min="2550" max="2550" width="12" bestFit="1" customWidth="1"/>
    <col min="2799" max="2799" width="9.28515625" customWidth="1"/>
    <col min="2800" max="2800" width="35.5703125" bestFit="1" customWidth="1"/>
    <col min="2801" max="2803" width="17.42578125" customWidth="1"/>
    <col min="2804" max="2804" width="16.7109375" bestFit="1" customWidth="1"/>
    <col min="2806" max="2806" width="12" bestFit="1" customWidth="1"/>
    <col min="3055" max="3055" width="9.28515625" customWidth="1"/>
    <col min="3056" max="3056" width="35.5703125" bestFit="1" customWidth="1"/>
    <col min="3057" max="3059" width="17.42578125" customWidth="1"/>
    <col min="3060" max="3060" width="16.7109375" bestFit="1" customWidth="1"/>
    <col min="3062" max="3062" width="12" bestFit="1" customWidth="1"/>
    <col min="3311" max="3311" width="9.28515625" customWidth="1"/>
    <col min="3312" max="3312" width="35.5703125" bestFit="1" customWidth="1"/>
    <col min="3313" max="3315" width="17.42578125" customWidth="1"/>
    <col min="3316" max="3316" width="16.7109375" bestFit="1" customWidth="1"/>
    <col min="3318" max="3318" width="12" bestFit="1" customWidth="1"/>
    <col min="3567" max="3567" width="9.28515625" customWidth="1"/>
    <col min="3568" max="3568" width="35.5703125" bestFit="1" customWidth="1"/>
    <col min="3569" max="3571" width="17.42578125" customWidth="1"/>
    <col min="3572" max="3572" width="16.7109375" bestFit="1" customWidth="1"/>
    <col min="3574" max="3574" width="12" bestFit="1" customWidth="1"/>
    <col min="3823" max="3823" width="9.28515625" customWidth="1"/>
    <col min="3824" max="3824" width="35.5703125" bestFit="1" customWidth="1"/>
    <col min="3825" max="3827" width="17.42578125" customWidth="1"/>
    <col min="3828" max="3828" width="16.7109375" bestFit="1" customWidth="1"/>
    <col min="3830" max="3830" width="12" bestFit="1" customWidth="1"/>
    <col min="4079" max="4079" width="9.28515625" customWidth="1"/>
    <col min="4080" max="4080" width="35.5703125" bestFit="1" customWidth="1"/>
    <col min="4081" max="4083" width="17.42578125" customWidth="1"/>
    <col min="4084" max="4084" width="16.7109375" bestFit="1" customWidth="1"/>
    <col min="4086" max="4086" width="12" bestFit="1" customWidth="1"/>
    <col min="4335" max="4335" width="9.28515625" customWidth="1"/>
    <col min="4336" max="4336" width="35.5703125" bestFit="1" customWidth="1"/>
    <col min="4337" max="4339" width="17.42578125" customWidth="1"/>
    <col min="4340" max="4340" width="16.7109375" bestFit="1" customWidth="1"/>
    <col min="4342" max="4342" width="12" bestFit="1" customWidth="1"/>
    <col min="4591" max="4591" width="9.28515625" customWidth="1"/>
    <col min="4592" max="4592" width="35.5703125" bestFit="1" customWidth="1"/>
    <col min="4593" max="4595" width="17.42578125" customWidth="1"/>
    <col min="4596" max="4596" width="16.7109375" bestFit="1" customWidth="1"/>
    <col min="4598" max="4598" width="12" bestFit="1" customWidth="1"/>
    <col min="4847" max="4847" width="9.28515625" customWidth="1"/>
    <col min="4848" max="4848" width="35.5703125" bestFit="1" customWidth="1"/>
    <col min="4849" max="4851" width="17.42578125" customWidth="1"/>
    <col min="4852" max="4852" width="16.7109375" bestFit="1" customWidth="1"/>
    <col min="4854" max="4854" width="12" bestFit="1" customWidth="1"/>
    <col min="5103" max="5103" width="9.28515625" customWidth="1"/>
    <col min="5104" max="5104" width="35.5703125" bestFit="1" customWidth="1"/>
    <col min="5105" max="5107" width="17.42578125" customWidth="1"/>
    <col min="5108" max="5108" width="16.7109375" bestFit="1" customWidth="1"/>
    <col min="5110" max="5110" width="12" bestFit="1" customWidth="1"/>
    <col min="5359" max="5359" width="9.28515625" customWidth="1"/>
    <col min="5360" max="5360" width="35.5703125" bestFit="1" customWidth="1"/>
    <col min="5361" max="5363" width="17.42578125" customWidth="1"/>
    <col min="5364" max="5364" width="16.7109375" bestFit="1" customWidth="1"/>
    <col min="5366" max="5366" width="12" bestFit="1" customWidth="1"/>
    <col min="5615" max="5615" width="9.28515625" customWidth="1"/>
    <col min="5616" max="5616" width="35.5703125" bestFit="1" customWidth="1"/>
    <col min="5617" max="5619" width="17.42578125" customWidth="1"/>
    <col min="5620" max="5620" width="16.7109375" bestFit="1" customWidth="1"/>
    <col min="5622" max="5622" width="12" bestFit="1" customWidth="1"/>
    <col min="5871" max="5871" width="9.28515625" customWidth="1"/>
    <col min="5872" max="5872" width="35.5703125" bestFit="1" customWidth="1"/>
    <col min="5873" max="5875" width="17.42578125" customWidth="1"/>
    <col min="5876" max="5876" width="16.7109375" bestFit="1" customWidth="1"/>
    <col min="5878" max="5878" width="12" bestFit="1" customWidth="1"/>
    <col min="6127" max="6127" width="9.28515625" customWidth="1"/>
    <col min="6128" max="6128" width="35.5703125" bestFit="1" customWidth="1"/>
    <col min="6129" max="6131" width="17.42578125" customWidth="1"/>
    <col min="6132" max="6132" width="16.7109375" bestFit="1" customWidth="1"/>
    <col min="6134" max="6134" width="12" bestFit="1" customWidth="1"/>
    <col min="6383" max="6383" width="9.28515625" customWidth="1"/>
    <col min="6384" max="6384" width="35.5703125" bestFit="1" customWidth="1"/>
    <col min="6385" max="6387" width="17.42578125" customWidth="1"/>
    <col min="6388" max="6388" width="16.7109375" bestFit="1" customWidth="1"/>
    <col min="6390" max="6390" width="12" bestFit="1" customWidth="1"/>
    <col min="6639" max="6639" width="9.28515625" customWidth="1"/>
    <col min="6640" max="6640" width="35.5703125" bestFit="1" customWidth="1"/>
    <col min="6641" max="6643" width="17.42578125" customWidth="1"/>
    <col min="6644" max="6644" width="16.7109375" bestFit="1" customWidth="1"/>
    <col min="6646" max="6646" width="12" bestFit="1" customWidth="1"/>
    <col min="6895" max="6895" width="9.28515625" customWidth="1"/>
    <col min="6896" max="6896" width="35.5703125" bestFit="1" customWidth="1"/>
    <col min="6897" max="6899" width="17.42578125" customWidth="1"/>
    <col min="6900" max="6900" width="16.7109375" bestFit="1" customWidth="1"/>
    <col min="6902" max="6902" width="12" bestFit="1" customWidth="1"/>
    <col min="7151" max="7151" width="9.28515625" customWidth="1"/>
    <col min="7152" max="7152" width="35.5703125" bestFit="1" customWidth="1"/>
    <col min="7153" max="7155" width="17.42578125" customWidth="1"/>
    <col min="7156" max="7156" width="16.7109375" bestFit="1" customWidth="1"/>
    <col min="7158" max="7158" width="12" bestFit="1" customWidth="1"/>
    <col min="7407" max="7407" width="9.28515625" customWidth="1"/>
    <col min="7408" max="7408" width="35.5703125" bestFit="1" customWidth="1"/>
    <col min="7409" max="7411" width="17.42578125" customWidth="1"/>
    <col min="7412" max="7412" width="16.7109375" bestFit="1" customWidth="1"/>
    <col min="7414" max="7414" width="12" bestFit="1" customWidth="1"/>
    <col min="7663" max="7663" width="9.28515625" customWidth="1"/>
    <col min="7664" max="7664" width="35.5703125" bestFit="1" customWidth="1"/>
    <col min="7665" max="7667" width="17.42578125" customWidth="1"/>
    <col min="7668" max="7668" width="16.7109375" bestFit="1" customWidth="1"/>
    <col min="7670" max="7670" width="12" bestFit="1" customWidth="1"/>
    <col min="7919" max="7919" width="9.28515625" customWidth="1"/>
    <col min="7920" max="7920" width="35.5703125" bestFit="1" customWidth="1"/>
    <col min="7921" max="7923" width="17.42578125" customWidth="1"/>
    <col min="7924" max="7924" width="16.7109375" bestFit="1" customWidth="1"/>
    <col min="7926" max="7926" width="12" bestFit="1" customWidth="1"/>
    <col min="8175" max="8175" width="9.28515625" customWidth="1"/>
    <col min="8176" max="8176" width="35.5703125" bestFit="1" customWidth="1"/>
    <col min="8177" max="8179" width="17.42578125" customWidth="1"/>
    <col min="8180" max="8180" width="16.7109375" bestFit="1" customWidth="1"/>
    <col min="8182" max="8182" width="12" bestFit="1" customWidth="1"/>
    <col min="8431" max="8431" width="9.28515625" customWidth="1"/>
    <col min="8432" max="8432" width="35.5703125" bestFit="1" customWidth="1"/>
    <col min="8433" max="8435" width="17.42578125" customWidth="1"/>
    <col min="8436" max="8436" width="16.7109375" bestFit="1" customWidth="1"/>
    <col min="8438" max="8438" width="12" bestFit="1" customWidth="1"/>
    <col min="8687" max="8687" width="9.28515625" customWidth="1"/>
    <col min="8688" max="8688" width="35.5703125" bestFit="1" customWidth="1"/>
    <col min="8689" max="8691" width="17.42578125" customWidth="1"/>
    <col min="8692" max="8692" width="16.7109375" bestFit="1" customWidth="1"/>
    <col min="8694" max="8694" width="12" bestFit="1" customWidth="1"/>
    <col min="8943" max="8943" width="9.28515625" customWidth="1"/>
    <col min="8944" max="8944" width="35.5703125" bestFit="1" customWidth="1"/>
    <col min="8945" max="8947" width="17.42578125" customWidth="1"/>
    <col min="8948" max="8948" width="16.7109375" bestFit="1" customWidth="1"/>
    <col min="8950" max="8950" width="12" bestFit="1" customWidth="1"/>
    <col min="9199" max="9199" width="9.28515625" customWidth="1"/>
    <col min="9200" max="9200" width="35.5703125" bestFit="1" customWidth="1"/>
    <col min="9201" max="9203" width="17.42578125" customWidth="1"/>
    <col min="9204" max="9204" width="16.7109375" bestFit="1" customWidth="1"/>
    <col min="9206" max="9206" width="12" bestFit="1" customWidth="1"/>
    <col min="9455" max="9455" width="9.28515625" customWidth="1"/>
    <col min="9456" max="9456" width="35.5703125" bestFit="1" customWidth="1"/>
    <col min="9457" max="9459" width="17.42578125" customWidth="1"/>
    <col min="9460" max="9460" width="16.7109375" bestFit="1" customWidth="1"/>
    <col min="9462" max="9462" width="12" bestFit="1" customWidth="1"/>
    <col min="9711" max="9711" width="9.28515625" customWidth="1"/>
    <col min="9712" max="9712" width="35.5703125" bestFit="1" customWidth="1"/>
    <col min="9713" max="9715" width="17.42578125" customWidth="1"/>
    <col min="9716" max="9716" width="16.7109375" bestFit="1" customWidth="1"/>
    <col min="9718" max="9718" width="12" bestFit="1" customWidth="1"/>
    <col min="9967" max="9967" width="9.28515625" customWidth="1"/>
    <col min="9968" max="9968" width="35.5703125" bestFit="1" customWidth="1"/>
    <col min="9969" max="9971" width="17.42578125" customWidth="1"/>
    <col min="9972" max="9972" width="16.7109375" bestFit="1" customWidth="1"/>
    <col min="9974" max="9974" width="12" bestFit="1" customWidth="1"/>
    <col min="10223" max="10223" width="9.28515625" customWidth="1"/>
    <col min="10224" max="10224" width="35.5703125" bestFit="1" customWidth="1"/>
    <col min="10225" max="10227" width="17.42578125" customWidth="1"/>
    <col min="10228" max="10228" width="16.7109375" bestFit="1" customWidth="1"/>
    <col min="10230" max="10230" width="12" bestFit="1" customWidth="1"/>
    <col min="10479" max="10479" width="9.28515625" customWidth="1"/>
    <col min="10480" max="10480" width="35.5703125" bestFit="1" customWidth="1"/>
    <col min="10481" max="10483" width="17.42578125" customWidth="1"/>
    <col min="10484" max="10484" width="16.7109375" bestFit="1" customWidth="1"/>
    <col min="10486" max="10486" width="12" bestFit="1" customWidth="1"/>
    <col min="10735" max="10735" width="9.28515625" customWidth="1"/>
    <col min="10736" max="10736" width="35.5703125" bestFit="1" customWidth="1"/>
    <col min="10737" max="10739" width="17.42578125" customWidth="1"/>
    <col min="10740" max="10740" width="16.7109375" bestFit="1" customWidth="1"/>
    <col min="10742" max="10742" width="12" bestFit="1" customWidth="1"/>
    <col min="10991" max="10991" width="9.28515625" customWidth="1"/>
    <col min="10992" max="10992" width="35.5703125" bestFit="1" customWidth="1"/>
    <col min="10993" max="10995" width="17.42578125" customWidth="1"/>
    <col min="10996" max="10996" width="16.7109375" bestFit="1" customWidth="1"/>
    <col min="10998" max="10998" width="12" bestFit="1" customWidth="1"/>
    <col min="11247" max="11247" width="9.28515625" customWidth="1"/>
    <col min="11248" max="11248" width="35.5703125" bestFit="1" customWidth="1"/>
    <col min="11249" max="11251" width="17.42578125" customWidth="1"/>
    <col min="11252" max="11252" width="16.7109375" bestFit="1" customWidth="1"/>
    <col min="11254" max="11254" width="12" bestFit="1" customWidth="1"/>
    <col min="11503" max="11503" width="9.28515625" customWidth="1"/>
    <col min="11504" max="11504" width="35.5703125" bestFit="1" customWidth="1"/>
    <col min="11505" max="11507" width="17.42578125" customWidth="1"/>
    <col min="11508" max="11508" width="16.7109375" bestFit="1" customWidth="1"/>
    <col min="11510" max="11510" width="12" bestFit="1" customWidth="1"/>
    <col min="11759" max="11759" width="9.28515625" customWidth="1"/>
    <col min="11760" max="11760" width="35.5703125" bestFit="1" customWidth="1"/>
    <col min="11761" max="11763" width="17.42578125" customWidth="1"/>
    <col min="11764" max="11764" width="16.7109375" bestFit="1" customWidth="1"/>
    <col min="11766" max="11766" width="12" bestFit="1" customWidth="1"/>
    <col min="12015" max="12015" width="9.28515625" customWidth="1"/>
    <col min="12016" max="12016" width="35.5703125" bestFit="1" customWidth="1"/>
    <col min="12017" max="12019" width="17.42578125" customWidth="1"/>
    <col min="12020" max="12020" width="16.7109375" bestFit="1" customWidth="1"/>
    <col min="12022" max="12022" width="12" bestFit="1" customWidth="1"/>
    <col min="12271" max="12271" width="9.28515625" customWidth="1"/>
    <col min="12272" max="12272" width="35.5703125" bestFit="1" customWidth="1"/>
    <col min="12273" max="12275" width="17.42578125" customWidth="1"/>
    <col min="12276" max="12276" width="16.7109375" bestFit="1" customWidth="1"/>
    <col min="12278" max="12278" width="12" bestFit="1" customWidth="1"/>
    <col min="12527" max="12527" width="9.28515625" customWidth="1"/>
    <col min="12528" max="12528" width="35.5703125" bestFit="1" customWidth="1"/>
    <col min="12529" max="12531" width="17.42578125" customWidth="1"/>
    <col min="12532" max="12532" width="16.7109375" bestFit="1" customWidth="1"/>
    <col min="12534" max="12534" width="12" bestFit="1" customWidth="1"/>
    <col min="12783" max="12783" width="9.28515625" customWidth="1"/>
    <col min="12784" max="12784" width="35.5703125" bestFit="1" customWidth="1"/>
    <col min="12785" max="12787" width="17.42578125" customWidth="1"/>
    <col min="12788" max="12788" width="16.7109375" bestFit="1" customWidth="1"/>
    <col min="12790" max="12790" width="12" bestFit="1" customWidth="1"/>
    <col min="13039" max="13039" width="9.28515625" customWidth="1"/>
    <col min="13040" max="13040" width="35.5703125" bestFit="1" customWidth="1"/>
    <col min="13041" max="13043" width="17.42578125" customWidth="1"/>
    <col min="13044" max="13044" width="16.7109375" bestFit="1" customWidth="1"/>
    <col min="13046" max="13046" width="12" bestFit="1" customWidth="1"/>
    <col min="13295" max="13295" width="9.28515625" customWidth="1"/>
    <col min="13296" max="13296" width="35.5703125" bestFit="1" customWidth="1"/>
    <col min="13297" max="13299" width="17.42578125" customWidth="1"/>
    <col min="13300" max="13300" width="16.7109375" bestFit="1" customWidth="1"/>
    <col min="13302" max="13302" width="12" bestFit="1" customWidth="1"/>
    <col min="13551" max="13551" width="9.28515625" customWidth="1"/>
    <col min="13552" max="13552" width="35.5703125" bestFit="1" customWidth="1"/>
    <col min="13553" max="13555" width="17.42578125" customWidth="1"/>
    <col min="13556" max="13556" width="16.7109375" bestFit="1" customWidth="1"/>
    <col min="13558" max="13558" width="12" bestFit="1" customWidth="1"/>
    <col min="13807" max="13807" width="9.28515625" customWidth="1"/>
    <col min="13808" max="13808" width="35.5703125" bestFit="1" customWidth="1"/>
    <col min="13809" max="13811" width="17.42578125" customWidth="1"/>
    <col min="13812" max="13812" width="16.7109375" bestFit="1" customWidth="1"/>
    <col min="13814" max="13814" width="12" bestFit="1" customWidth="1"/>
    <col min="14063" max="14063" width="9.28515625" customWidth="1"/>
    <col min="14064" max="14064" width="35.5703125" bestFit="1" customWidth="1"/>
    <col min="14065" max="14067" width="17.42578125" customWidth="1"/>
    <col min="14068" max="14068" width="16.7109375" bestFit="1" customWidth="1"/>
    <col min="14070" max="14070" width="12" bestFit="1" customWidth="1"/>
    <col min="14319" max="14319" width="9.28515625" customWidth="1"/>
    <col min="14320" max="14320" width="35.5703125" bestFit="1" customWidth="1"/>
    <col min="14321" max="14323" width="17.42578125" customWidth="1"/>
    <col min="14324" max="14324" width="16.7109375" bestFit="1" customWidth="1"/>
    <col min="14326" max="14326" width="12" bestFit="1" customWidth="1"/>
    <col min="14575" max="14575" width="9.28515625" customWidth="1"/>
    <col min="14576" max="14576" width="35.5703125" bestFit="1" customWidth="1"/>
    <col min="14577" max="14579" width="17.42578125" customWidth="1"/>
    <col min="14580" max="14580" width="16.7109375" bestFit="1" customWidth="1"/>
    <col min="14582" max="14582" width="12" bestFit="1" customWidth="1"/>
    <col min="14831" max="14831" width="9.28515625" customWidth="1"/>
    <col min="14832" max="14832" width="35.5703125" bestFit="1" customWidth="1"/>
    <col min="14833" max="14835" width="17.42578125" customWidth="1"/>
    <col min="14836" max="14836" width="16.7109375" bestFit="1" customWidth="1"/>
    <col min="14838" max="14838" width="12" bestFit="1" customWidth="1"/>
    <col min="15087" max="15087" width="9.28515625" customWidth="1"/>
    <col min="15088" max="15088" width="35.5703125" bestFit="1" customWidth="1"/>
    <col min="15089" max="15091" width="17.42578125" customWidth="1"/>
    <col min="15092" max="15092" width="16.7109375" bestFit="1" customWidth="1"/>
    <col min="15094" max="15094" width="12" bestFit="1" customWidth="1"/>
    <col min="15343" max="15343" width="9.28515625" customWidth="1"/>
    <col min="15344" max="15344" width="35.5703125" bestFit="1" customWidth="1"/>
    <col min="15345" max="15347" width="17.42578125" customWidth="1"/>
    <col min="15348" max="15348" width="16.7109375" bestFit="1" customWidth="1"/>
    <col min="15350" max="15350" width="12" bestFit="1" customWidth="1"/>
    <col min="15599" max="15599" width="9.28515625" customWidth="1"/>
    <col min="15600" max="15600" width="35.5703125" bestFit="1" customWidth="1"/>
    <col min="15601" max="15603" width="17.42578125" customWidth="1"/>
    <col min="15604" max="15604" width="16.7109375" bestFit="1" customWidth="1"/>
    <col min="15606" max="15606" width="12" bestFit="1" customWidth="1"/>
    <col min="15855" max="15855" width="9.28515625" customWidth="1"/>
    <col min="15856" max="15856" width="35.5703125" bestFit="1" customWidth="1"/>
    <col min="15857" max="15859" width="17.42578125" customWidth="1"/>
    <col min="15860" max="15860" width="16.7109375" bestFit="1" customWidth="1"/>
    <col min="15862" max="15862" width="12" bestFit="1" customWidth="1"/>
    <col min="16111" max="16111" width="9.28515625" customWidth="1"/>
    <col min="16112" max="16112" width="35.5703125" bestFit="1" customWidth="1"/>
    <col min="16113" max="16115" width="17.42578125" customWidth="1"/>
    <col min="16116" max="16116" width="16.7109375" bestFit="1" customWidth="1"/>
    <col min="16118" max="16118" width="12" bestFit="1" customWidth="1"/>
    <col min="16384" max="16384" width="9.140625" customWidth="1"/>
  </cols>
  <sheetData>
    <row r="1" spans="2:12">
      <c r="D1" s="11" t="s">
        <v>0</v>
      </c>
      <c r="E1" s="12">
        <v>0.8</v>
      </c>
      <c r="G1" s="189" t="s">
        <v>1</v>
      </c>
      <c r="H1" s="190"/>
      <c r="I1" s="190"/>
      <c r="J1" s="191"/>
    </row>
    <row r="2" spans="2:12">
      <c r="D2" s="11" t="s">
        <v>2</v>
      </c>
      <c r="E2" s="12">
        <v>0.8</v>
      </c>
      <c r="G2" s="13" t="s">
        <v>3</v>
      </c>
      <c r="H2" s="14">
        <f>SUM(H18,H23)</f>
        <v>11.829999999999998</v>
      </c>
      <c r="I2" s="15"/>
      <c r="J2" s="15"/>
    </row>
    <row r="3" spans="2:12">
      <c r="D3" s="11" t="s">
        <v>4</v>
      </c>
      <c r="E3" s="12">
        <v>415</v>
      </c>
      <c r="G3" s="13" t="s">
        <v>5</v>
      </c>
      <c r="H3" s="14">
        <f>(H2/$E$5)</f>
        <v>15.857908847184984</v>
      </c>
      <c r="I3" s="15"/>
      <c r="J3" s="15"/>
    </row>
    <row r="4" spans="2:12">
      <c r="D4" s="11" t="s">
        <v>6</v>
      </c>
      <c r="E4" s="12">
        <v>230</v>
      </c>
      <c r="G4" s="13" t="s">
        <v>7</v>
      </c>
      <c r="H4" s="14">
        <f>(H2*1000)/(1.73*$E$3*$E$2)</f>
        <v>20.596838219931747</v>
      </c>
      <c r="I4" s="15"/>
      <c r="J4" s="15"/>
    </row>
    <row r="5" spans="2:12">
      <c r="D5" s="11" t="s">
        <v>8</v>
      </c>
      <c r="E5" s="12">
        <v>0.746</v>
      </c>
      <c r="F5" s="16"/>
      <c r="G5" s="13" t="s">
        <v>9</v>
      </c>
      <c r="H5" s="14">
        <f>H2*$E$6</f>
        <v>14.787499999999998</v>
      </c>
      <c r="I5" s="15"/>
      <c r="J5" s="15"/>
    </row>
    <row r="6" spans="2:12">
      <c r="D6" s="11" t="s">
        <v>10</v>
      </c>
      <c r="E6" s="12">
        <v>1.25</v>
      </c>
      <c r="F6" s="16"/>
      <c r="G6" s="13" t="s">
        <v>11</v>
      </c>
      <c r="H6" s="14">
        <f>H3*$E$6</f>
        <v>19.82238605898123</v>
      </c>
      <c r="I6" s="15"/>
      <c r="J6" s="15"/>
    </row>
    <row r="7" spans="2:12">
      <c r="D7" s="11" t="s">
        <v>12</v>
      </c>
      <c r="E7" s="12">
        <v>0.8</v>
      </c>
      <c r="F7" s="16"/>
      <c r="G7" s="13" t="s">
        <v>13</v>
      </c>
      <c r="H7" s="14">
        <f>H4*$E$6</f>
        <v>25.746047774914686</v>
      </c>
      <c r="I7" s="15"/>
      <c r="J7" s="15"/>
    </row>
    <row r="8" spans="2:12" ht="15.75" thickBot="1">
      <c r="D8" s="17"/>
      <c r="E8" s="16"/>
      <c r="F8" s="16"/>
      <c r="I8" s="19"/>
    </row>
    <row r="9" spans="2:12" ht="15.75" thickBot="1">
      <c r="B9" s="192" t="s">
        <v>14</v>
      </c>
      <c r="C9" s="193"/>
      <c r="D9" s="193"/>
      <c r="E9" s="193"/>
      <c r="F9" s="193"/>
      <c r="G9" s="193"/>
      <c r="H9" s="193"/>
      <c r="I9" s="193"/>
      <c r="J9" s="194"/>
    </row>
    <row r="10" spans="2:12" ht="15.75" thickBot="1">
      <c r="B10" s="20" t="s">
        <v>15</v>
      </c>
      <c r="C10" s="174" t="s">
        <v>16</v>
      </c>
      <c r="D10" s="22" t="s">
        <v>17</v>
      </c>
      <c r="E10" s="23" t="s">
        <v>18</v>
      </c>
      <c r="F10" s="23" t="s">
        <v>19</v>
      </c>
      <c r="G10" s="23" t="s">
        <v>20</v>
      </c>
      <c r="H10" s="24" t="s">
        <v>21</v>
      </c>
      <c r="I10" s="23" t="s">
        <v>22</v>
      </c>
      <c r="J10" s="25" t="s">
        <v>23</v>
      </c>
      <c r="K10" s="67" t="s">
        <v>46</v>
      </c>
      <c r="L10" s="125" t="s">
        <v>47</v>
      </c>
    </row>
    <row r="11" spans="2:12" ht="15.75">
      <c r="B11" s="208" t="s">
        <v>24</v>
      </c>
      <c r="C11" s="26">
        <v>1</v>
      </c>
      <c r="D11" s="27" t="s">
        <v>48</v>
      </c>
      <c r="E11" s="26" t="s">
        <v>49</v>
      </c>
      <c r="F11" s="28" t="s">
        <v>50</v>
      </c>
      <c r="G11" s="28">
        <v>4</v>
      </c>
      <c r="H11" s="28">
        <f>G11</f>
        <v>4</v>
      </c>
      <c r="I11" s="29">
        <f>H11/$E$5</f>
        <v>5.3619302949061662</v>
      </c>
      <c r="J11" s="161">
        <f>(H11*1000)/(1.732*$E$1*$E$2*$E$3)</f>
        <v>8.6952892401012818</v>
      </c>
      <c r="K11" s="164">
        <v>10.5</v>
      </c>
      <c r="L11" s="28">
        <v>3.7</v>
      </c>
    </row>
    <row r="12" spans="2:12" ht="15.75">
      <c r="B12" s="209"/>
      <c r="C12" s="30">
        <v>2</v>
      </c>
      <c r="D12" s="31" t="s">
        <v>51</v>
      </c>
      <c r="E12" s="30" t="s">
        <v>52</v>
      </c>
      <c r="F12" s="32" t="s">
        <v>50</v>
      </c>
      <c r="G12" s="32">
        <v>4</v>
      </c>
      <c r="H12" s="32">
        <f t="shared" ref="H12:H17" si="0">G12</f>
        <v>4</v>
      </c>
      <c r="I12" s="33">
        <f t="shared" ref="I12:I17" si="1">H12/$E$5</f>
        <v>5.3619302949061662</v>
      </c>
      <c r="J12" s="162">
        <f t="shared" ref="J12:J17" si="2">(H12*1000)/(1.732*$E$1*$E$2*$E$3)</f>
        <v>8.6952892401012818</v>
      </c>
      <c r="K12" s="164">
        <v>10.5</v>
      </c>
      <c r="L12" s="32">
        <v>3.7</v>
      </c>
    </row>
    <row r="13" spans="2:12" ht="15.75">
      <c r="B13" s="209"/>
      <c r="C13" s="30">
        <v>3</v>
      </c>
      <c r="D13" s="31" t="s">
        <v>53</v>
      </c>
      <c r="E13" s="30" t="s">
        <v>54</v>
      </c>
      <c r="F13" s="32" t="s">
        <v>50</v>
      </c>
      <c r="G13" s="32">
        <v>0.75</v>
      </c>
      <c r="H13" s="32">
        <f t="shared" si="0"/>
        <v>0.75</v>
      </c>
      <c r="I13" s="33">
        <f t="shared" si="1"/>
        <v>1.0053619302949062</v>
      </c>
      <c r="J13" s="162">
        <f t="shared" si="2"/>
        <v>1.6303667325189903</v>
      </c>
      <c r="K13" s="164">
        <v>2.2999999999999998</v>
      </c>
      <c r="L13" s="32">
        <v>0.5</v>
      </c>
    </row>
    <row r="14" spans="2:12" ht="15.75">
      <c r="B14" s="209"/>
      <c r="C14" s="30">
        <v>4</v>
      </c>
      <c r="D14" s="31" t="s">
        <v>55</v>
      </c>
      <c r="E14" s="30" t="s">
        <v>56</v>
      </c>
      <c r="F14" s="32" t="s">
        <v>50</v>
      </c>
      <c r="G14" s="32">
        <v>0.75</v>
      </c>
      <c r="H14" s="32">
        <f t="shared" si="0"/>
        <v>0.75</v>
      </c>
      <c r="I14" s="33">
        <f t="shared" si="1"/>
        <v>1.0053619302949062</v>
      </c>
      <c r="J14" s="162">
        <f t="shared" si="2"/>
        <v>1.6303667325189903</v>
      </c>
      <c r="K14" s="164">
        <v>2.2999999999999998</v>
      </c>
      <c r="L14" s="32">
        <v>0.5</v>
      </c>
    </row>
    <row r="15" spans="2:12" ht="15.75">
      <c r="B15" s="209"/>
      <c r="C15" s="30">
        <v>5</v>
      </c>
      <c r="D15" s="31" t="s">
        <v>57</v>
      </c>
      <c r="E15" s="30" t="s">
        <v>58</v>
      </c>
      <c r="F15" s="32" t="s">
        <v>59</v>
      </c>
      <c r="G15" s="32">
        <v>0.18</v>
      </c>
      <c r="H15" s="32">
        <f t="shared" si="0"/>
        <v>0.18</v>
      </c>
      <c r="I15" s="33">
        <f t="shared" si="1"/>
        <v>0.24128686327077747</v>
      </c>
      <c r="J15" s="162">
        <f t="shared" si="2"/>
        <v>0.39128801580455769</v>
      </c>
      <c r="K15" s="164">
        <v>0.4</v>
      </c>
      <c r="L15" s="32">
        <v>0.18</v>
      </c>
    </row>
    <row r="16" spans="2:12" ht="15.75">
      <c r="B16" s="209"/>
      <c r="C16" s="30">
        <v>6</v>
      </c>
      <c r="D16" s="31" t="s">
        <v>60</v>
      </c>
      <c r="E16" s="30" t="s">
        <v>58</v>
      </c>
      <c r="F16" s="32" t="s">
        <v>59</v>
      </c>
      <c r="G16" s="32">
        <v>0.18</v>
      </c>
      <c r="H16" s="32">
        <f t="shared" si="0"/>
        <v>0.18</v>
      </c>
      <c r="I16" s="33">
        <f t="shared" si="1"/>
        <v>0.24128686327077747</v>
      </c>
      <c r="J16" s="162">
        <f t="shared" si="2"/>
        <v>0.39128801580455769</v>
      </c>
      <c r="K16" s="164">
        <v>0.4</v>
      </c>
      <c r="L16" s="32">
        <v>0.18</v>
      </c>
    </row>
    <row r="17" spans="2:12" ht="15.75">
      <c r="B17" s="209"/>
      <c r="C17" s="30">
        <v>7</v>
      </c>
      <c r="D17" s="31" t="s">
        <v>61</v>
      </c>
      <c r="E17" s="30" t="s">
        <v>58</v>
      </c>
      <c r="F17" s="32" t="s">
        <v>59</v>
      </c>
      <c r="G17" s="32">
        <v>0.37</v>
      </c>
      <c r="H17" s="32">
        <f t="shared" si="0"/>
        <v>0.37</v>
      </c>
      <c r="I17" s="33">
        <f t="shared" si="1"/>
        <v>0.49597855227882037</v>
      </c>
      <c r="J17" s="162">
        <f t="shared" si="2"/>
        <v>0.80431425470936857</v>
      </c>
      <c r="K17" s="164">
        <v>0.8</v>
      </c>
      <c r="L17" s="32">
        <v>0.37</v>
      </c>
    </row>
    <row r="18" spans="2:12" ht="16.5" thickBot="1">
      <c r="B18" s="44"/>
      <c r="C18" s="197" t="s">
        <v>36</v>
      </c>
      <c r="D18" s="197"/>
      <c r="E18" s="197"/>
      <c r="F18" s="45"/>
      <c r="G18" s="47">
        <f>SUM(G11:G17)</f>
        <v>10.229999999999999</v>
      </c>
      <c r="H18" s="47">
        <f>SUM(H11:H17)</f>
        <v>10.229999999999999</v>
      </c>
      <c r="I18" s="47">
        <f>SUM(I11:I17)</f>
        <v>13.713136729222523</v>
      </c>
      <c r="J18" s="47">
        <f>SUM(J11:J17)</f>
        <v>22.238202231559029</v>
      </c>
      <c r="K18" s="73">
        <f>SUM(K11:K17)</f>
        <v>27.2</v>
      </c>
    </row>
    <row r="19" spans="2:12" ht="16.5" thickBot="1">
      <c r="B19" s="198" t="s">
        <v>37</v>
      </c>
      <c r="C19" s="199"/>
      <c r="D19" s="199"/>
      <c r="E19" s="199"/>
      <c r="F19" s="199"/>
      <c r="G19" s="199"/>
      <c r="H19" s="199"/>
      <c r="I19" s="199"/>
      <c r="J19" s="200"/>
    </row>
    <row r="20" spans="2:12" ht="15.75">
      <c r="B20" s="34"/>
      <c r="C20" s="36" t="s">
        <v>16</v>
      </c>
      <c r="D20" s="35" t="s">
        <v>17</v>
      </c>
      <c r="E20" s="36" t="s">
        <v>18</v>
      </c>
      <c r="F20" s="36" t="s">
        <v>38</v>
      </c>
      <c r="G20" s="36" t="s">
        <v>20</v>
      </c>
      <c r="H20" s="37" t="s">
        <v>21</v>
      </c>
      <c r="I20" s="38" t="s">
        <v>22</v>
      </c>
      <c r="J20" s="39" t="s">
        <v>39</v>
      </c>
      <c r="K20" s="54" t="s">
        <v>62</v>
      </c>
    </row>
    <row r="21" spans="2:12" ht="15.75">
      <c r="B21" s="204" t="s">
        <v>40</v>
      </c>
      <c r="C21" s="30">
        <v>1</v>
      </c>
      <c r="D21" s="40" t="s">
        <v>41</v>
      </c>
      <c r="E21" s="32" t="s">
        <v>42</v>
      </c>
      <c r="F21" s="32">
        <v>2</v>
      </c>
      <c r="G21" s="41">
        <f>F21*$E$7</f>
        <v>1.6</v>
      </c>
      <c r="H21" s="32">
        <f>G21</f>
        <v>1.6</v>
      </c>
      <c r="I21" s="42">
        <f>H21/$E$5</f>
        <v>2.1447721179624666</v>
      </c>
      <c r="J21" s="56">
        <f>(F21*1000)/(1.732*$E$3)</f>
        <v>2.7824925568324104</v>
      </c>
      <c r="K21" s="57">
        <f>(G21*1000)/(1.732*$E$4)</f>
        <v>4.0164675168189579</v>
      </c>
    </row>
    <row r="22" spans="2:12" ht="15.75">
      <c r="B22" s="204"/>
      <c r="C22" s="30"/>
      <c r="D22" s="40" t="s">
        <v>63</v>
      </c>
      <c r="E22" s="32"/>
      <c r="F22" s="32"/>
      <c r="G22" s="32"/>
      <c r="H22" s="32"/>
      <c r="I22" s="42"/>
      <c r="J22" s="43"/>
      <c r="K22" s="58"/>
    </row>
    <row r="23" spans="2:12" ht="16.5" thickBot="1">
      <c r="B23" s="44"/>
      <c r="C23" s="197" t="s">
        <v>36</v>
      </c>
      <c r="D23" s="197"/>
      <c r="E23" s="197"/>
      <c r="F23" s="45"/>
      <c r="G23" s="46">
        <f>SUM(G21:G22)</f>
        <v>1.6</v>
      </c>
      <c r="H23" s="46">
        <f>SUM(H21:H22)</f>
        <v>1.6</v>
      </c>
      <c r="I23" s="46">
        <f>SUM(I21:I22)</f>
        <v>2.1447721179624666</v>
      </c>
      <c r="J23" s="47">
        <f>SUM(J21:J22)</f>
        <v>2.7824925568324104</v>
      </c>
      <c r="K23" s="58"/>
    </row>
    <row r="24" spans="2:12" ht="15.75">
      <c r="B24" s="205" t="s">
        <v>44</v>
      </c>
      <c r="C24" s="206"/>
      <c r="D24" s="206"/>
      <c r="E24" s="207"/>
      <c r="F24" s="48"/>
      <c r="G24" s="49">
        <f>G18+G23</f>
        <v>11.829999999999998</v>
      </c>
      <c r="H24" s="49">
        <f>H18+H23</f>
        <v>11.829999999999998</v>
      </c>
      <c r="I24" s="49">
        <f>I18+I23</f>
        <v>15.857908847184989</v>
      </c>
      <c r="J24" s="50">
        <f>K18+J23</f>
        <v>29.982492556832408</v>
      </c>
      <c r="K24" s="55"/>
    </row>
    <row r="25" spans="2:12" ht="16.5" thickBot="1">
      <c r="B25" s="201" t="s">
        <v>64</v>
      </c>
      <c r="C25" s="202"/>
      <c r="D25" s="202"/>
      <c r="E25" s="203"/>
      <c r="F25" s="51"/>
      <c r="G25" s="52">
        <f t="shared" ref="G25:I25" si="3">G24*$E$6</f>
        <v>14.787499999999998</v>
      </c>
      <c r="H25" s="52">
        <f t="shared" si="3"/>
        <v>14.787499999999998</v>
      </c>
      <c r="I25" s="52">
        <f t="shared" si="3"/>
        <v>19.822386058981238</v>
      </c>
      <c r="J25" s="52">
        <f>J24*$E$6</f>
        <v>37.478115696040511</v>
      </c>
      <c r="K25" s="55"/>
    </row>
    <row r="26" spans="2:12">
      <c r="I26" s="53"/>
      <c r="J26" s="53"/>
    </row>
    <row r="27" spans="2:12" ht="15.75">
      <c r="D27" s="40"/>
      <c r="I27" s="53"/>
      <c r="J27" s="53"/>
    </row>
    <row r="28" spans="2:12">
      <c r="D28" s="70"/>
    </row>
    <row r="51" spans="11:11">
      <c r="K51" t="s">
        <v>65</v>
      </c>
    </row>
  </sheetData>
  <mergeCells count="9">
    <mergeCell ref="G1:J1"/>
    <mergeCell ref="B25:E25"/>
    <mergeCell ref="B9:J9"/>
    <mergeCell ref="C18:E18"/>
    <mergeCell ref="B19:J19"/>
    <mergeCell ref="B21:B22"/>
    <mergeCell ref="C23:E23"/>
    <mergeCell ref="B24:E24"/>
    <mergeCell ref="B11:B17"/>
  </mergeCells>
  <dataValidations count="5">
    <dataValidation type="decimal" operator="equal" allowBlank="1" showInputMessage="1" showErrorMessage="1" sqref="J22">
      <formula1>(G22*1000)/(1.73*$E$3)</formula1>
    </dataValidation>
    <dataValidation type="decimal" operator="equal" allowBlank="1" showInputMessage="1" showErrorMessage="1" sqref="I21:I22">
      <formula1>H21/$E$5</formula1>
    </dataValidation>
    <dataValidation type="decimal" operator="equal" allowBlank="1" showInputMessage="1" showErrorMessage="1" sqref="H21:H22">
      <formula1>G21</formula1>
    </dataValidation>
    <dataValidation type="list" allowBlank="1" showDropDown="1" showInputMessage="1" showErrorMessage="1" promptTitle="Calculation " sqref="H11:H17">
      <formula1>G11</formula1>
    </dataValidation>
    <dataValidation type="whole" allowBlank="1" showDropDown="1" showInputMessage="1" showErrorMessage="1" sqref="I11:I17">
      <formula1>H11/$E$5</formula1>
      <formula2>H11/$E$5</formula2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3"/>
  <sheetViews>
    <sheetView topLeftCell="B1" zoomScale="85" zoomScaleNormal="85" workbookViewId="0">
      <selection activeCell="K16" sqref="K16"/>
    </sheetView>
  </sheetViews>
  <sheetFormatPr defaultRowHeight="15"/>
  <cols>
    <col min="2" max="2" width="17" style="9" bestFit="1" customWidth="1"/>
    <col min="3" max="3" width="9.28515625" style="10" customWidth="1"/>
    <col min="4" max="4" width="48.85546875" customWidth="1"/>
    <col min="5" max="5" width="12.140625" style="9" customWidth="1"/>
    <col min="6" max="6" width="17.42578125" style="9" customWidth="1"/>
    <col min="7" max="7" width="16.5703125" style="9" bestFit="1" customWidth="1"/>
    <col min="8" max="8" width="16.7109375" style="18" bestFit="1" customWidth="1"/>
    <col min="9" max="9" width="9.140625" style="9"/>
    <col min="10" max="10" width="14" style="9" bestFit="1" customWidth="1"/>
    <col min="11" max="11" width="9.140625" style="10"/>
    <col min="12" max="12" width="10.140625" bestFit="1" customWidth="1"/>
    <col min="239" max="239" width="9.28515625" customWidth="1"/>
    <col min="240" max="240" width="35.5703125" bestFit="1" customWidth="1"/>
    <col min="241" max="243" width="17.42578125" customWidth="1"/>
    <col min="244" max="244" width="16.7109375" bestFit="1" customWidth="1"/>
    <col min="246" max="246" width="12" bestFit="1" customWidth="1"/>
    <col min="495" max="495" width="9.28515625" customWidth="1"/>
    <col min="496" max="496" width="35.5703125" bestFit="1" customWidth="1"/>
    <col min="497" max="499" width="17.42578125" customWidth="1"/>
    <col min="500" max="500" width="16.7109375" bestFit="1" customWidth="1"/>
    <col min="502" max="502" width="12" bestFit="1" customWidth="1"/>
    <col min="751" max="751" width="9.28515625" customWidth="1"/>
    <col min="752" max="752" width="35.5703125" bestFit="1" customWidth="1"/>
    <col min="753" max="755" width="17.42578125" customWidth="1"/>
    <col min="756" max="756" width="16.7109375" bestFit="1" customWidth="1"/>
    <col min="758" max="758" width="12" bestFit="1" customWidth="1"/>
    <col min="1007" max="1007" width="9.28515625" customWidth="1"/>
    <col min="1008" max="1008" width="35.5703125" bestFit="1" customWidth="1"/>
    <col min="1009" max="1011" width="17.42578125" customWidth="1"/>
    <col min="1012" max="1012" width="16.7109375" bestFit="1" customWidth="1"/>
    <col min="1014" max="1014" width="12" bestFit="1" customWidth="1"/>
    <col min="1263" max="1263" width="9.28515625" customWidth="1"/>
    <col min="1264" max="1264" width="35.5703125" bestFit="1" customWidth="1"/>
    <col min="1265" max="1267" width="17.42578125" customWidth="1"/>
    <col min="1268" max="1268" width="16.7109375" bestFit="1" customWidth="1"/>
    <col min="1270" max="1270" width="12" bestFit="1" customWidth="1"/>
    <col min="1519" max="1519" width="9.28515625" customWidth="1"/>
    <col min="1520" max="1520" width="35.5703125" bestFit="1" customWidth="1"/>
    <col min="1521" max="1523" width="17.42578125" customWidth="1"/>
    <col min="1524" max="1524" width="16.7109375" bestFit="1" customWidth="1"/>
    <col min="1526" max="1526" width="12" bestFit="1" customWidth="1"/>
    <col min="1775" max="1775" width="9.28515625" customWidth="1"/>
    <col min="1776" max="1776" width="35.5703125" bestFit="1" customWidth="1"/>
    <col min="1777" max="1779" width="17.42578125" customWidth="1"/>
    <col min="1780" max="1780" width="16.7109375" bestFit="1" customWidth="1"/>
    <col min="1782" max="1782" width="12" bestFit="1" customWidth="1"/>
    <col min="2031" max="2031" width="9.28515625" customWidth="1"/>
    <col min="2032" max="2032" width="35.5703125" bestFit="1" customWidth="1"/>
    <col min="2033" max="2035" width="17.42578125" customWidth="1"/>
    <col min="2036" max="2036" width="16.7109375" bestFit="1" customWidth="1"/>
    <col min="2038" max="2038" width="12" bestFit="1" customWidth="1"/>
    <col min="2287" max="2287" width="9.28515625" customWidth="1"/>
    <col min="2288" max="2288" width="35.5703125" bestFit="1" customWidth="1"/>
    <col min="2289" max="2291" width="17.42578125" customWidth="1"/>
    <col min="2292" max="2292" width="16.7109375" bestFit="1" customWidth="1"/>
    <col min="2294" max="2294" width="12" bestFit="1" customWidth="1"/>
    <col min="2543" max="2543" width="9.28515625" customWidth="1"/>
    <col min="2544" max="2544" width="35.5703125" bestFit="1" customWidth="1"/>
    <col min="2545" max="2547" width="17.42578125" customWidth="1"/>
    <col min="2548" max="2548" width="16.7109375" bestFit="1" customWidth="1"/>
    <col min="2550" max="2550" width="12" bestFit="1" customWidth="1"/>
    <col min="2799" max="2799" width="9.28515625" customWidth="1"/>
    <col min="2800" max="2800" width="35.5703125" bestFit="1" customWidth="1"/>
    <col min="2801" max="2803" width="17.42578125" customWidth="1"/>
    <col min="2804" max="2804" width="16.7109375" bestFit="1" customWidth="1"/>
    <col min="2806" max="2806" width="12" bestFit="1" customWidth="1"/>
    <col min="3055" max="3055" width="9.28515625" customWidth="1"/>
    <col min="3056" max="3056" width="35.5703125" bestFit="1" customWidth="1"/>
    <col min="3057" max="3059" width="17.42578125" customWidth="1"/>
    <col min="3060" max="3060" width="16.7109375" bestFit="1" customWidth="1"/>
    <col min="3062" max="3062" width="12" bestFit="1" customWidth="1"/>
    <col min="3311" max="3311" width="9.28515625" customWidth="1"/>
    <col min="3312" max="3312" width="35.5703125" bestFit="1" customWidth="1"/>
    <col min="3313" max="3315" width="17.42578125" customWidth="1"/>
    <col min="3316" max="3316" width="16.7109375" bestFit="1" customWidth="1"/>
    <col min="3318" max="3318" width="12" bestFit="1" customWidth="1"/>
    <col min="3567" max="3567" width="9.28515625" customWidth="1"/>
    <col min="3568" max="3568" width="35.5703125" bestFit="1" customWidth="1"/>
    <col min="3569" max="3571" width="17.42578125" customWidth="1"/>
    <col min="3572" max="3572" width="16.7109375" bestFit="1" customWidth="1"/>
    <col min="3574" max="3574" width="12" bestFit="1" customWidth="1"/>
    <col min="3823" max="3823" width="9.28515625" customWidth="1"/>
    <col min="3824" max="3824" width="35.5703125" bestFit="1" customWidth="1"/>
    <col min="3825" max="3827" width="17.42578125" customWidth="1"/>
    <col min="3828" max="3828" width="16.7109375" bestFit="1" customWidth="1"/>
    <col min="3830" max="3830" width="12" bestFit="1" customWidth="1"/>
    <col min="4079" max="4079" width="9.28515625" customWidth="1"/>
    <col min="4080" max="4080" width="35.5703125" bestFit="1" customWidth="1"/>
    <col min="4081" max="4083" width="17.42578125" customWidth="1"/>
    <col min="4084" max="4084" width="16.7109375" bestFit="1" customWidth="1"/>
    <col min="4086" max="4086" width="12" bestFit="1" customWidth="1"/>
    <col min="4335" max="4335" width="9.28515625" customWidth="1"/>
    <col min="4336" max="4336" width="35.5703125" bestFit="1" customWidth="1"/>
    <col min="4337" max="4339" width="17.42578125" customWidth="1"/>
    <col min="4340" max="4340" width="16.7109375" bestFit="1" customWidth="1"/>
    <col min="4342" max="4342" width="12" bestFit="1" customWidth="1"/>
    <col min="4591" max="4591" width="9.28515625" customWidth="1"/>
    <col min="4592" max="4592" width="35.5703125" bestFit="1" customWidth="1"/>
    <col min="4593" max="4595" width="17.42578125" customWidth="1"/>
    <col min="4596" max="4596" width="16.7109375" bestFit="1" customWidth="1"/>
    <col min="4598" max="4598" width="12" bestFit="1" customWidth="1"/>
    <col min="4847" max="4847" width="9.28515625" customWidth="1"/>
    <col min="4848" max="4848" width="35.5703125" bestFit="1" customWidth="1"/>
    <col min="4849" max="4851" width="17.42578125" customWidth="1"/>
    <col min="4852" max="4852" width="16.7109375" bestFit="1" customWidth="1"/>
    <col min="4854" max="4854" width="12" bestFit="1" customWidth="1"/>
    <col min="5103" max="5103" width="9.28515625" customWidth="1"/>
    <col min="5104" max="5104" width="35.5703125" bestFit="1" customWidth="1"/>
    <col min="5105" max="5107" width="17.42578125" customWidth="1"/>
    <col min="5108" max="5108" width="16.7109375" bestFit="1" customWidth="1"/>
    <col min="5110" max="5110" width="12" bestFit="1" customWidth="1"/>
    <col min="5359" max="5359" width="9.28515625" customWidth="1"/>
    <col min="5360" max="5360" width="35.5703125" bestFit="1" customWidth="1"/>
    <col min="5361" max="5363" width="17.42578125" customWidth="1"/>
    <col min="5364" max="5364" width="16.7109375" bestFit="1" customWidth="1"/>
    <col min="5366" max="5366" width="12" bestFit="1" customWidth="1"/>
    <col min="5615" max="5615" width="9.28515625" customWidth="1"/>
    <col min="5616" max="5616" width="35.5703125" bestFit="1" customWidth="1"/>
    <col min="5617" max="5619" width="17.42578125" customWidth="1"/>
    <col min="5620" max="5620" width="16.7109375" bestFit="1" customWidth="1"/>
    <col min="5622" max="5622" width="12" bestFit="1" customWidth="1"/>
    <col min="5871" max="5871" width="9.28515625" customWidth="1"/>
    <col min="5872" max="5872" width="35.5703125" bestFit="1" customWidth="1"/>
    <col min="5873" max="5875" width="17.42578125" customWidth="1"/>
    <col min="5876" max="5876" width="16.7109375" bestFit="1" customWidth="1"/>
    <col min="5878" max="5878" width="12" bestFit="1" customWidth="1"/>
    <col min="6127" max="6127" width="9.28515625" customWidth="1"/>
    <col min="6128" max="6128" width="35.5703125" bestFit="1" customWidth="1"/>
    <col min="6129" max="6131" width="17.42578125" customWidth="1"/>
    <col min="6132" max="6132" width="16.7109375" bestFit="1" customWidth="1"/>
    <col min="6134" max="6134" width="12" bestFit="1" customWidth="1"/>
    <col min="6383" max="6383" width="9.28515625" customWidth="1"/>
    <col min="6384" max="6384" width="35.5703125" bestFit="1" customWidth="1"/>
    <col min="6385" max="6387" width="17.42578125" customWidth="1"/>
    <col min="6388" max="6388" width="16.7109375" bestFit="1" customWidth="1"/>
    <col min="6390" max="6390" width="12" bestFit="1" customWidth="1"/>
    <col min="6639" max="6639" width="9.28515625" customWidth="1"/>
    <col min="6640" max="6640" width="35.5703125" bestFit="1" customWidth="1"/>
    <col min="6641" max="6643" width="17.42578125" customWidth="1"/>
    <col min="6644" max="6644" width="16.7109375" bestFit="1" customWidth="1"/>
    <col min="6646" max="6646" width="12" bestFit="1" customWidth="1"/>
    <col min="6895" max="6895" width="9.28515625" customWidth="1"/>
    <col min="6896" max="6896" width="35.5703125" bestFit="1" customWidth="1"/>
    <col min="6897" max="6899" width="17.42578125" customWidth="1"/>
    <col min="6900" max="6900" width="16.7109375" bestFit="1" customWidth="1"/>
    <col min="6902" max="6902" width="12" bestFit="1" customWidth="1"/>
    <col min="7151" max="7151" width="9.28515625" customWidth="1"/>
    <col min="7152" max="7152" width="35.5703125" bestFit="1" customWidth="1"/>
    <col min="7153" max="7155" width="17.42578125" customWidth="1"/>
    <col min="7156" max="7156" width="16.7109375" bestFit="1" customWidth="1"/>
    <col min="7158" max="7158" width="12" bestFit="1" customWidth="1"/>
    <col min="7407" max="7407" width="9.28515625" customWidth="1"/>
    <col min="7408" max="7408" width="35.5703125" bestFit="1" customWidth="1"/>
    <col min="7409" max="7411" width="17.42578125" customWidth="1"/>
    <col min="7412" max="7412" width="16.7109375" bestFit="1" customWidth="1"/>
    <col min="7414" max="7414" width="12" bestFit="1" customWidth="1"/>
    <col min="7663" max="7663" width="9.28515625" customWidth="1"/>
    <col min="7664" max="7664" width="35.5703125" bestFit="1" customWidth="1"/>
    <col min="7665" max="7667" width="17.42578125" customWidth="1"/>
    <col min="7668" max="7668" width="16.7109375" bestFit="1" customWidth="1"/>
    <col min="7670" max="7670" width="12" bestFit="1" customWidth="1"/>
    <col min="7919" max="7919" width="9.28515625" customWidth="1"/>
    <col min="7920" max="7920" width="35.5703125" bestFit="1" customWidth="1"/>
    <col min="7921" max="7923" width="17.42578125" customWidth="1"/>
    <col min="7924" max="7924" width="16.7109375" bestFit="1" customWidth="1"/>
    <col min="7926" max="7926" width="12" bestFit="1" customWidth="1"/>
    <col min="8175" max="8175" width="9.28515625" customWidth="1"/>
    <col min="8176" max="8176" width="35.5703125" bestFit="1" customWidth="1"/>
    <col min="8177" max="8179" width="17.42578125" customWidth="1"/>
    <col min="8180" max="8180" width="16.7109375" bestFit="1" customWidth="1"/>
    <col min="8182" max="8182" width="12" bestFit="1" customWidth="1"/>
    <col min="8431" max="8431" width="9.28515625" customWidth="1"/>
    <col min="8432" max="8432" width="35.5703125" bestFit="1" customWidth="1"/>
    <col min="8433" max="8435" width="17.42578125" customWidth="1"/>
    <col min="8436" max="8436" width="16.7109375" bestFit="1" customWidth="1"/>
    <col min="8438" max="8438" width="12" bestFit="1" customWidth="1"/>
    <col min="8687" max="8687" width="9.28515625" customWidth="1"/>
    <col min="8688" max="8688" width="35.5703125" bestFit="1" customWidth="1"/>
    <col min="8689" max="8691" width="17.42578125" customWidth="1"/>
    <col min="8692" max="8692" width="16.7109375" bestFit="1" customWidth="1"/>
    <col min="8694" max="8694" width="12" bestFit="1" customWidth="1"/>
    <col min="8943" max="8943" width="9.28515625" customWidth="1"/>
    <col min="8944" max="8944" width="35.5703125" bestFit="1" customWidth="1"/>
    <col min="8945" max="8947" width="17.42578125" customWidth="1"/>
    <col min="8948" max="8948" width="16.7109375" bestFit="1" customWidth="1"/>
    <col min="8950" max="8950" width="12" bestFit="1" customWidth="1"/>
    <col min="9199" max="9199" width="9.28515625" customWidth="1"/>
    <col min="9200" max="9200" width="35.5703125" bestFit="1" customWidth="1"/>
    <col min="9201" max="9203" width="17.42578125" customWidth="1"/>
    <col min="9204" max="9204" width="16.7109375" bestFit="1" customWidth="1"/>
    <col min="9206" max="9206" width="12" bestFit="1" customWidth="1"/>
    <col min="9455" max="9455" width="9.28515625" customWidth="1"/>
    <col min="9456" max="9456" width="35.5703125" bestFit="1" customWidth="1"/>
    <col min="9457" max="9459" width="17.42578125" customWidth="1"/>
    <col min="9460" max="9460" width="16.7109375" bestFit="1" customWidth="1"/>
    <col min="9462" max="9462" width="12" bestFit="1" customWidth="1"/>
    <col min="9711" max="9711" width="9.28515625" customWidth="1"/>
    <col min="9712" max="9712" width="35.5703125" bestFit="1" customWidth="1"/>
    <col min="9713" max="9715" width="17.42578125" customWidth="1"/>
    <col min="9716" max="9716" width="16.7109375" bestFit="1" customWidth="1"/>
    <col min="9718" max="9718" width="12" bestFit="1" customWidth="1"/>
    <col min="9967" max="9967" width="9.28515625" customWidth="1"/>
    <col min="9968" max="9968" width="35.5703125" bestFit="1" customWidth="1"/>
    <col min="9969" max="9971" width="17.42578125" customWidth="1"/>
    <col min="9972" max="9972" width="16.7109375" bestFit="1" customWidth="1"/>
    <col min="9974" max="9974" width="12" bestFit="1" customWidth="1"/>
    <col min="10223" max="10223" width="9.28515625" customWidth="1"/>
    <col min="10224" max="10224" width="35.5703125" bestFit="1" customWidth="1"/>
    <col min="10225" max="10227" width="17.42578125" customWidth="1"/>
    <col min="10228" max="10228" width="16.7109375" bestFit="1" customWidth="1"/>
    <col min="10230" max="10230" width="12" bestFit="1" customWidth="1"/>
    <col min="10479" max="10479" width="9.28515625" customWidth="1"/>
    <col min="10480" max="10480" width="35.5703125" bestFit="1" customWidth="1"/>
    <col min="10481" max="10483" width="17.42578125" customWidth="1"/>
    <col min="10484" max="10484" width="16.7109375" bestFit="1" customWidth="1"/>
    <col min="10486" max="10486" width="12" bestFit="1" customWidth="1"/>
    <col min="10735" max="10735" width="9.28515625" customWidth="1"/>
    <col min="10736" max="10736" width="35.5703125" bestFit="1" customWidth="1"/>
    <col min="10737" max="10739" width="17.42578125" customWidth="1"/>
    <col min="10740" max="10740" width="16.7109375" bestFit="1" customWidth="1"/>
    <col min="10742" max="10742" width="12" bestFit="1" customWidth="1"/>
    <col min="10991" max="10991" width="9.28515625" customWidth="1"/>
    <col min="10992" max="10992" width="35.5703125" bestFit="1" customWidth="1"/>
    <col min="10993" max="10995" width="17.42578125" customWidth="1"/>
    <col min="10996" max="10996" width="16.7109375" bestFit="1" customWidth="1"/>
    <col min="10998" max="10998" width="12" bestFit="1" customWidth="1"/>
    <col min="11247" max="11247" width="9.28515625" customWidth="1"/>
    <col min="11248" max="11248" width="35.5703125" bestFit="1" customWidth="1"/>
    <col min="11249" max="11251" width="17.42578125" customWidth="1"/>
    <col min="11252" max="11252" width="16.7109375" bestFit="1" customWidth="1"/>
    <col min="11254" max="11254" width="12" bestFit="1" customWidth="1"/>
    <col min="11503" max="11503" width="9.28515625" customWidth="1"/>
    <col min="11504" max="11504" width="35.5703125" bestFit="1" customWidth="1"/>
    <col min="11505" max="11507" width="17.42578125" customWidth="1"/>
    <col min="11508" max="11508" width="16.7109375" bestFit="1" customWidth="1"/>
    <col min="11510" max="11510" width="12" bestFit="1" customWidth="1"/>
    <col min="11759" max="11759" width="9.28515625" customWidth="1"/>
    <col min="11760" max="11760" width="35.5703125" bestFit="1" customWidth="1"/>
    <col min="11761" max="11763" width="17.42578125" customWidth="1"/>
    <col min="11764" max="11764" width="16.7109375" bestFit="1" customWidth="1"/>
    <col min="11766" max="11766" width="12" bestFit="1" customWidth="1"/>
    <col min="12015" max="12015" width="9.28515625" customWidth="1"/>
    <col min="12016" max="12016" width="35.5703125" bestFit="1" customWidth="1"/>
    <col min="12017" max="12019" width="17.42578125" customWidth="1"/>
    <col min="12020" max="12020" width="16.7109375" bestFit="1" customWidth="1"/>
    <col min="12022" max="12022" width="12" bestFit="1" customWidth="1"/>
    <col min="12271" max="12271" width="9.28515625" customWidth="1"/>
    <col min="12272" max="12272" width="35.5703125" bestFit="1" customWidth="1"/>
    <col min="12273" max="12275" width="17.42578125" customWidth="1"/>
    <col min="12276" max="12276" width="16.7109375" bestFit="1" customWidth="1"/>
    <col min="12278" max="12278" width="12" bestFit="1" customWidth="1"/>
    <col min="12527" max="12527" width="9.28515625" customWidth="1"/>
    <col min="12528" max="12528" width="35.5703125" bestFit="1" customWidth="1"/>
    <col min="12529" max="12531" width="17.42578125" customWidth="1"/>
    <col min="12532" max="12532" width="16.7109375" bestFit="1" customWidth="1"/>
    <col min="12534" max="12534" width="12" bestFit="1" customWidth="1"/>
    <col min="12783" max="12783" width="9.28515625" customWidth="1"/>
    <col min="12784" max="12784" width="35.5703125" bestFit="1" customWidth="1"/>
    <col min="12785" max="12787" width="17.42578125" customWidth="1"/>
    <col min="12788" max="12788" width="16.7109375" bestFit="1" customWidth="1"/>
    <col min="12790" max="12790" width="12" bestFit="1" customWidth="1"/>
    <col min="13039" max="13039" width="9.28515625" customWidth="1"/>
    <col min="13040" max="13040" width="35.5703125" bestFit="1" customWidth="1"/>
    <col min="13041" max="13043" width="17.42578125" customWidth="1"/>
    <col min="13044" max="13044" width="16.7109375" bestFit="1" customWidth="1"/>
    <col min="13046" max="13046" width="12" bestFit="1" customWidth="1"/>
    <col min="13295" max="13295" width="9.28515625" customWidth="1"/>
    <col min="13296" max="13296" width="35.5703125" bestFit="1" customWidth="1"/>
    <col min="13297" max="13299" width="17.42578125" customWidth="1"/>
    <col min="13300" max="13300" width="16.7109375" bestFit="1" customWidth="1"/>
    <col min="13302" max="13302" width="12" bestFit="1" customWidth="1"/>
    <col min="13551" max="13551" width="9.28515625" customWidth="1"/>
    <col min="13552" max="13552" width="35.5703125" bestFit="1" customWidth="1"/>
    <col min="13553" max="13555" width="17.42578125" customWidth="1"/>
    <col min="13556" max="13556" width="16.7109375" bestFit="1" customWidth="1"/>
    <col min="13558" max="13558" width="12" bestFit="1" customWidth="1"/>
    <col min="13807" max="13807" width="9.28515625" customWidth="1"/>
    <col min="13808" max="13808" width="35.5703125" bestFit="1" customWidth="1"/>
    <col min="13809" max="13811" width="17.42578125" customWidth="1"/>
    <col min="13812" max="13812" width="16.7109375" bestFit="1" customWidth="1"/>
    <col min="13814" max="13814" width="12" bestFit="1" customWidth="1"/>
    <col min="14063" max="14063" width="9.28515625" customWidth="1"/>
    <col min="14064" max="14064" width="35.5703125" bestFit="1" customWidth="1"/>
    <col min="14065" max="14067" width="17.42578125" customWidth="1"/>
    <col min="14068" max="14068" width="16.7109375" bestFit="1" customWidth="1"/>
    <col min="14070" max="14070" width="12" bestFit="1" customWidth="1"/>
    <col min="14319" max="14319" width="9.28515625" customWidth="1"/>
    <col min="14320" max="14320" width="35.5703125" bestFit="1" customWidth="1"/>
    <col min="14321" max="14323" width="17.42578125" customWidth="1"/>
    <col min="14324" max="14324" width="16.7109375" bestFit="1" customWidth="1"/>
    <col min="14326" max="14326" width="12" bestFit="1" customWidth="1"/>
    <col min="14575" max="14575" width="9.28515625" customWidth="1"/>
    <col min="14576" max="14576" width="35.5703125" bestFit="1" customWidth="1"/>
    <col min="14577" max="14579" width="17.42578125" customWidth="1"/>
    <col min="14580" max="14580" width="16.7109375" bestFit="1" customWidth="1"/>
    <col min="14582" max="14582" width="12" bestFit="1" customWidth="1"/>
    <col min="14831" max="14831" width="9.28515625" customWidth="1"/>
    <col min="14832" max="14832" width="35.5703125" bestFit="1" customWidth="1"/>
    <col min="14833" max="14835" width="17.42578125" customWidth="1"/>
    <col min="14836" max="14836" width="16.7109375" bestFit="1" customWidth="1"/>
    <col min="14838" max="14838" width="12" bestFit="1" customWidth="1"/>
    <col min="15087" max="15087" width="9.28515625" customWidth="1"/>
    <col min="15088" max="15088" width="35.5703125" bestFit="1" customWidth="1"/>
    <col min="15089" max="15091" width="17.42578125" customWidth="1"/>
    <col min="15092" max="15092" width="16.7109375" bestFit="1" customWidth="1"/>
    <col min="15094" max="15094" width="12" bestFit="1" customWidth="1"/>
    <col min="15343" max="15343" width="9.28515625" customWidth="1"/>
    <col min="15344" max="15344" width="35.5703125" bestFit="1" customWidth="1"/>
    <col min="15345" max="15347" width="17.42578125" customWidth="1"/>
    <col min="15348" max="15348" width="16.7109375" bestFit="1" customWidth="1"/>
    <col min="15350" max="15350" width="12" bestFit="1" customWidth="1"/>
    <col min="15599" max="15599" width="9.28515625" customWidth="1"/>
    <col min="15600" max="15600" width="35.5703125" bestFit="1" customWidth="1"/>
    <col min="15601" max="15603" width="17.42578125" customWidth="1"/>
    <col min="15604" max="15604" width="16.7109375" bestFit="1" customWidth="1"/>
    <col min="15606" max="15606" width="12" bestFit="1" customWidth="1"/>
    <col min="15855" max="15855" width="9.28515625" customWidth="1"/>
    <col min="15856" max="15856" width="35.5703125" bestFit="1" customWidth="1"/>
    <col min="15857" max="15859" width="17.42578125" customWidth="1"/>
    <col min="15860" max="15860" width="16.7109375" bestFit="1" customWidth="1"/>
    <col min="15862" max="15862" width="12" bestFit="1" customWidth="1"/>
    <col min="16111" max="16111" width="9.28515625" customWidth="1"/>
    <col min="16112" max="16112" width="35.5703125" bestFit="1" customWidth="1"/>
    <col min="16113" max="16115" width="17.42578125" customWidth="1"/>
    <col min="16116" max="16116" width="16.7109375" bestFit="1" customWidth="1"/>
    <col min="16118" max="16118" width="12" bestFit="1" customWidth="1"/>
    <col min="16384" max="16384" width="9.140625" customWidth="1"/>
  </cols>
  <sheetData>
    <row r="1" spans="2:12">
      <c r="D1" s="11" t="s">
        <v>0</v>
      </c>
      <c r="E1" s="12">
        <v>0.8</v>
      </c>
      <c r="G1" s="189" t="s">
        <v>1</v>
      </c>
      <c r="H1" s="190"/>
      <c r="I1" s="190"/>
      <c r="J1" s="191"/>
    </row>
    <row r="2" spans="2:12">
      <c r="D2" s="11" t="s">
        <v>2</v>
      </c>
      <c r="E2" s="12">
        <v>0.8</v>
      </c>
      <c r="G2" s="13" t="s">
        <v>3</v>
      </c>
      <c r="H2" s="14">
        <f>SUM(H20,H25)</f>
        <v>41.44</v>
      </c>
      <c r="I2" s="15"/>
      <c r="J2" s="15"/>
    </row>
    <row r="3" spans="2:12">
      <c r="D3" s="11" t="s">
        <v>4</v>
      </c>
      <c r="E3" s="12">
        <v>415</v>
      </c>
      <c r="G3" s="13" t="s">
        <v>5</v>
      </c>
      <c r="H3" s="14">
        <f>(H2/$E$5)</f>
        <v>55.54959785522788</v>
      </c>
      <c r="I3" s="15"/>
      <c r="J3" s="15"/>
    </row>
    <row r="4" spans="2:12">
      <c r="D4" s="11" t="s">
        <v>6</v>
      </c>
      <c r="E4" s="12">
        <v>230</v>
      </c>
      <c r="G4" s="13" t="s">
        <v>7</v>
      </c>
      <c r="H4" s="14">
        <f>(H2*1000)/(1.73*$E$3*$E$2)</f>
        <v>72.149871160944357</v>
      </c>
      <c r="I4" s="15"/>
      <c r="J4" s="15"/>
    </row>
    <row r="5" spans="2:12">
      <c r="D5" s="11" t="s">
        <v>8</v>
      </c>
      <c r="E5" s="12">
        <v>0.746</v>
      </c>
      <c r="F5" s="16"/>
      <c r="G5" s="13" t="s">
        <v>9</v>
      </c>
      <c r="H5" s="14">
        <f>H2*$E$6</f>
        <v>51.8</v>
      </c>
      <c r="I5" s="15"/>
      <c r="J5" s="15"/>
    </row>
    <row r="6" spans="2:12">
      <c r="D6" s="11" t="s">
        <v>10</v>
      </c>
      <c r="E6" s="12">
        <v>1.25</v>
      </c>
      <c r="F6" s="16"/>
      <c r="G6" s="13" t="s">
        <v>11</v>
      </c>
      <c r="H6" s="14">
        <f>H3*$E$6</f>
        <v>69.436997319034845</v>
      </c>
      <c r="I6" s="15"/>
      <c r="J6" s="15"/>
    </row>
    <row r="7" spans="2:12">
      <c r="D7" s="11" t="s">
        <v>12</v>
      </c>
      <c r="E7" s="12">
        <v>0.8</v>
      </c>
      <c r="F7" s="16"/>
      <c r="G7" s="13" t="s">
        <v>13</v>
      </c>
      <c r="H7" s="14">
        <f>H4*$E$6</f>
        <v>90.18733895118045</v>
      </c>
      <c r="I7" s="15"/>
      <c r="J7" s="15"/>
    </row>
    <row r="8" spans="2:12" ht="15.75" thickBot="1">
      <c r="D8" s="17"/>
      <c r="E8" s="16"/>
      <c r="F8" s="16"/>
      <c r="I8" s="19"/>
    </row>
    <row r="9" spans="2:12" ht="15.75" thickBot="1">
      <c r="B9" s="192" t="s">
        <v>14</v>
      </c>
      <c r="C9" s="193"/>
      <c r="D9" s="193"/>
      <c r="E9" s="193"/>
      <c r="F9" s="193"/>
      <c r="G9" s="193"/>
      <c r="H9" s="193"/>
      <c r="I9" s="193"/>
      <c r="J9" s="194"/>
    </row>
    <row r="10" spans="2:12" ht="15.75" thickBot="1">
      <c r="B10" s="20" t="s">
        <v>15</v>
      </c>
      <c r="C10" s="21" t="s">
        <v>16</v>
      </c>
      <c r="D10" s="22" t="s">
        <v>17</v>
      </c>
      <c r="E10" s="23" t="s">
        <v>18</v>
      </c>
      <c r="F10" s="23" t="s">
        <v>19</v>
      </c>
      <c r="G10" s="23" t="s">
        <v>20</v>
      </c>
      <c r="H10" s="24" t="s">
        <v>21</v>
      </c>
      <c r="I10" s="23" t="s">
        <v>22</v>
      </c>
      <c r="J10" s="25" t="s">
        <v>23</v>
      </c>
      <c r="K10" s="67" t="s">
        <v>46</v>
      </c>
      <c r="L10" s="125" t="s">
        <v>47</v>
      </c>
    </row>
    <row r="11" spans="2:12" ht="15.75">
      <c r="B11" s="210" t="s">
        <v>24</v>
      </c>
      <c r="C11" s="179">
        <v>1</v>
      </c>
      <c r="D11" s="95" t="s">
        <v>66</v>
      </c>
      <c r="E11" s="94" t="s">
        <v>67</v>
      </c>
      <c r="F11" s="97" t="s">
        <v>50</v>
      </c>
      <c r="G11" s="97">
        <v>11</v>
      </c>
      <c r="H11" s="97">
        <f>G11</f>
        <v>11</v>
      </c>
      <c r="I11" s="98">
        <f>H11/$E$5</f>
        <v>14.745308310991957</v>
      </c>
      <c r="J11" s="161">
        <f>(H11*1000)/(1.732*$E$1*$E$2*$E$3)</f>
        <v>23.912045410278523</v>
      </c>
      <c r="K11" s="165">
        <v>24</v>
      </c>
      <c r="L11" s="28">
        <v>11</v>
      </c>
    </row>
    <row r="12" spans="2:12" ht="15.75">
      <c r="B12" s="211"/>
      <c r="C12" s="165">
        <v>2</v>
      </c>
      <c r="D12" s="84" t="s">
        <v>68</v>
      </c>
      <c r="E12" s="13" t="s">
        <v>69</v>
      </c>
      <c r="F12" s="86" t="s">
        <v>50</v>
      </c>
      <c r="G12" s="86">
        <v>11</v>
      </c>
      <c r="H12" s="86">
        <f t="shared" ref="H12:H19" si="0">G12</f>
        <v>11</v>
      </c>
      <c r="I12" s="87">
        <f t="shared" ref="I12:I19" si="1">H12/$E$5</f>
        <v>14.745308310991957</v>
      </c>
      <c r="J12" s="162">
        <f t="shared" ref="J12:J19" si="2">(H12*1000)/(1.732*$E$1*$E$2*$E$3)</f>
        <v>23.912045410278523</v>
      </c>
      <c r="K12" s="165">
        <v>24</v>
      </c>
      <c r="L12" s="32">
        <v>11</v>
      </c>
    </row>
    <row r="13" spans="2:12" ht="15.75">
      <c r="B13" s="211"/>
      <c r="C13" s="165">
        <v>3</v>
      </c>
      <c r="D13" s="84" t="s">
        <v>70</v>
      </c>
      <c r="E13" s="13" t="s">
        <v>71</v>
      </c>
      <c r="F13" s="86" t="s">
        <v>50</v>
      </c>
      <c r="G13" s="86">
        <v>5.5</v>
      </c>
      <c r="H13" s="86">
        <f t="shared" si="0"/>
        <v>5.5</v>
      </c>
      <c r="I13" s="87">
        <f t="shared" si="1"/>
        <v>7.3726541554959786</v>
      </c>
      <c r="J13" s="162">
        <f t="shared" si="2"/>
        <v>11.956022705139262</v>
      </c>
      <c r="K13" s="165">
        <v>13</v>
      </c>
      <c r="L13" s="32">
        <v>5.5</v>
      </c>
    </row>
    <row r="14" spans="2:12" ht="15.75">
      <c r="B14" s="211"/>
      <c r="C14" s="165">
        <v>4</v>
      </c>
      <c r="D14" s="84" t="s">
        <v>72</v>
      </c>
      <c r="E14" s="13" t="s">
        <v>73</v>
      </c>
      <c r="F14" s="86" t="s">
        <v>50</v>
      </c>
      <c r="G14" s="86">
        <v>7.5</v>
      </c>
      <c r="H14" s="86">
        <f t="shared" si="0"/>
        <v>7.5</v>
      </c>
      <c r="I14" s="87">
        <f t="shared" si="1"/>
        <v>10.053619302949063</v>
      </c>
      <c r="J14" s="162">
        <f t="shared" si="2"/>
        <v>16.303667325189902</v>
      </c>
      <c r="K14" s="165">
        <v>17</v>
      </c>
      <c r="L14" s="32">
        <v>7.5</v>
      </c>
    </row>
    <row r="15" spans="2:12" ht="15.75">
      <c r="B15" s="211"/>
      <c r="C15" s="165">
        <v>5</v>
      </c>
      <c r="D15" s="84" t="s">
        <v>74</v>
      </c>
      <c r="E15" s="13" t="s">
        <v>75</v>
      </c>
      <c r="F15" s="86" t="s">
        <v>50</v>
      </c>
      <c r="G15" s="86">
        <v>1.5</v>
      </c>
      <c r="H15" s="86">
        <f t="shared" si="0"/>
        <v>1.5</v>
      </c>
      <c r="I15" s="87">
        <f t="shared" si="1"/>
        <v>2.0107238605898123</v>
      </c>
      <c r="J15" s="162">
        <f t="shared" si="2"/>
        <v>3.2607334650379807</v>
      </c>
      <c r="K15" s="165">
        <v>4</v>
      </c>
      <c r="L15" s="32">
        <v>1.1000000000000001</v>
      </c>
    </row>
    <row r="16" spans="2:12" ht="15.75">
      <c r="B16" s="211"/>
      <c r="C16" s="165">
        <v>6</v>
      </c>
      <c r="D16" s="84" t="s">
        <v>76</v>
      </c>
      <c r="E16" s="13" t="s">
        <v>77</v>
      </c>
      <c r="F16" s="86" t="s">
        <v>50</v>
      </c>
      <c r="G16" s="183">
        <v>1.5</v>
      </c>
      <c r="H16" s="86">
        <f t="shared" ref="H16:H17" si="3">G16</f>
        <v>1.5</v>
      </c>
      <c r="I16" s="87">
        <f t="shared" ref="I16:I17" si="4">H16/$E$5</f>
        <v>2.0107238605898123</v>
      </c>
      <c r="J16" s="162">
        <f t="shared" ref="J16:J17" si="5">(H16*1000)/(1.732*$E$1*$E$2*$E$3)</f>
        <v>3.2607334650379807</v>
      </c>
      <c r="K16" s="165">
        <v>4</v>
      </c>
      <c r="L16" s="32">
        <v>1.1000000000000001</v>
      </c>
    </row>
    <row r="17" spans="2:12" ht="15.75">
      <c r="B17" s="211"/>
      <c r="C17" s="165">
        <v>7</v>
      </c>
      <c r="D17" s="84" t="s">
        <v>78</v>
      </c>
      <c r="E17" s="13" t="s">
        <v>79</v>
      </c>
      <c r="F17" s="86" t="s">
        <v>50</v>
      </c>
      <c r="G17" s="183">
        <v>1.5</v>
      </c>
      <c r="H17" s="86">
        <f t="shared" si="3"/>
        <v>1.5</v>
      </c>
      <c r="I17" s="87">
        <f t="shared" si="4"/>
        <v>2.0107238605898123</v>
      </c>
      <c r="J17" s="162">
        <f t="shared" si="5"/>
        <v>3.2607334650379807</v>
      </c>
      <c r="K17" s="165">
        <v>4</v>
      </c>
      <c r="L17" s="32">
        <v>1.1000000000000001</v>
      </c>
    </row>
    <row r="18" spans="2:12" ht="15.75">
      <c r="B18" s="211"/>
      <c r="C18" s="165">
        <v>8</v>
      </c>
      <c r="D18" s="84" t="s">
        <v>80</v>
      </c>
      <c r="E18" s="13" t="s">
        <v>81</v>
      </c>
      <c r="F18" s="86" t="s">
        <v>59</v>
      </c>
      <c r="G18" s="86">
        <v>0.37</v>
      </c>
      <c r="H18" s="86">
        <f t="shared" si="0"/>
        <v>0.37</v>
      </c>
      <c r="I18" s="87">
        <f t="shared" si="1"/>
        <v>0.49597855227882037</v>
      </c>
      <c r="J18" s="162">
        <f t="shared" si="2"/>
        <v>0.80431425470936857</v>
      </c>
      <c r="K18" s="165">
        <v>0.8</v>
      </c>
      <c r="L18" s="32">
        <v>0.37</v>
      </c>
    </row>
    <row r="19" spans="2:12" ht="15.75">
      <c r="B19" s="211"/>
      <c r="C19" s="165">
        <v>9</v>
      </c>
      <c r="D19" s="84" t="s">
        <v>82</v>
      </c>
      <c r="E19" s="13" t="s">
        <v>83</v>
      </c>
      <c r="F19" s="86" t="s">
        <v>59</v>
      </c>
      <c r="G19" s="86">
        <v>0.37</v>
      </c>
      <c r="H19" s="86">
        <f t="shared" si="0"/>
        <v>0.37</v>
      </c>
      <c r="I19" s="87">
        <f t="shared" si="1"/>
        <v>0.49597855227882037</v>
      </c>
      <c r="J19" s="162">
        <f t="shared" si="2"/>
        <v>0.80431425470936857</v>
      </c>
      <c r="K19" s="165">
        <v>0.8</v>
      </c>
      <c r="L19" s="32">
        <v>0.37</v>
      </c>
    </row>
    <row r="20" spans="2:12" ht="16.5" thickBot="1">
      <c r="B20" s="212"/>
      <c r="C20" s="197" t="s">
        <v>36</v>
      </c>
      <c r="D20" s="197"/>
      <c r="E20" s="197"/>
      <c r="F20" s="45"/>
      <c r="G20" s="46">
        <f>SUM(G11:G19)</f>
        <v>40.239999999999995</v>
      </c>
      <c r="H20" s="46">
        <f>SUM(H11:H19)</f>
        <v>40.239999999999995</v>
      </c>
      <c r="I20" s="46">
        <f>SUM(I11:I19)</f>
        <v>53.941018766756038</v>
      </c>
      <c r="J20" s="47">
        <f>SUM(J11:J19)</f>
        <v>87.474609755418911</v>
      </c>
      <c r="K20" s="73">
        <f>SUM(K11:K19)</f>
        <v>91.6</v>
      </c>
    </row>
    <row r="21" spans="2:12" ht="16.5" thickBot="1">
      <c r="B21" s="198" t="s">
        <v>37</v>
      </c>
      <c r="C21" s="199"/>
      <c r="D21" s="199"/>
      <c r="E21" s="199"/>
      <c r="F21" s="199"/>
      <c r="G21" s="199"/>
      <c r="H21" s="199"/>
      <c r="I21" s="199"/>
      <c r="J21" s="200"/>
    </row>
    <row r="22" spans="2:12" ht="15.75">
      <c r="B22" s="34"/>
      <c r="C22" s="35" t="s">
        <v>16</v>
      </c>
      <c r="D22" s="35" t="s">
        <v>17</v>
      </c>
      <c r="E22" s="36" t="s">
        <v>18</v>
      </c>
      <c r="F22" s="36" t="s">
        <v>38</v>
      </c>
      <c r="G22" s="36" t="s">
        <v>20</v>
      </c>
      <c r="H22" s="37" t="s">
        <v>21</v>
      </c>
      <c r="I22" s="38" t="s">
        <v>22</v>
      </c>
      <c r="J22" s="39" t="s">
        <v>39</v>
      </c>
      <c r="K22" s="54" t="s">
        <v>62</v>
      </c>
    </row>
    <row r="23" spans="2:12" ht="15.75">
      <c r="B23" s="196" t="s">
        <v>40</v>
      </c>
      <c r="C23" s="64">
        <v>1</v>
      </c>
      <c r="D23" s="88" t="s">
        <v>41</v>
      </c>
      <c r="E23" s="86" t="s">
        <v>42</v>
      </c>
      <c r="F23" s="86">
        <v>1.5</v>
      </c>
      <c r="G23" s="41">
        <f>F23*$E$7</f>
        <v>1.2000000000000002</v>
      </c>
      <c r="H23" s="86">
        <f>G23</f>
        <v>1.2000000000000002</v>
      </c>
      <c r="I23" s="89">
        <f>H23/$E$5</f>
        <v>1.60857908847185</v>
      </c>
      <c r="J23" s="56">
        <f>(F23*1000)/(1.732*$E$3)</f>
        <v>2.0868694176243081</v>
      </c>
      <c r="K23" s="57">
        <f>(G23*1000)/(1.732*$E$4)</f>
        <v>3.0123506376142188</v>
      </c>
    </row>
    <row r="24" spans="2:12" ht="15.75">
      <c r="B24" s="196"/>
      <c r="C24" s="64"/>
      <c r="D24" s="88" t="s">
        <v>63</v>
      </c>
      <c r="E24" s="86"/>
      <c r="F24" s="86"/>
      <c r="G24" s="86"/>
      <c r="H24" s="86"/>
      <c r="I24" s="89"/>
      <c r="J24" s="90"/>
      <c r="K24" s="57"/>
    </row>
    <row r="25" spans="2:12" ht="16.5" thickBot="1">
      <c r="B25" s="44"/>
      <c r="C25" s="197" t="s">
        <v>36</v>
      </c>
      <c r="D25" s="197"/>
      <c r="E25" s="197"/>
      <c r="F25" s="45"/>
      <c r="G25" s="46">
        <f>SUM(G23:G24)</f>
        <v>1.2000000000000002</v>
      </c>
      <c r="H25" s="46">
        <f>SUM(H23:H24)</f>
        <v>1.2000000000000002</v>
      </c>
      <c r="I25" s="46">
        <f>SUM(I23:I24)</f>
        <v>1.60857908847185</v>
      </c>
      <c r="J25" s="47">
        <f>SUM(J23:J24)</f>
        <v>2.0868694176243081</v>
      </c>
      <c r="K25" s="57"/>
    </row>
    <row r="26" spans="2:12" ht="15.75">
      <c r="B26" s="205" t="s">
        <v>44</v>
      </c>
      <c r="C26" s="206"/>
      <c r="D26" s="206"/>
      <c r="E26" s="207"/>
      <c r="F26" s="48"/>
      <c r="G26" s="49">
        <f>G20+G25</f>
        <v>41.44</v>
      </c>
      <c r="H26" s="49">
        <f>H20+H25</f>
        <v>41.44</v>
      </c>
      <c r="I26" s="49">
        <f>I20+I25</f>
        <v>55.549597855227887</v>
      </c>
      <c r="J26" s="50">
        <f>K20+J25</f>
        <v>93.686869417624308</v>
      </c>
      <c r="K26" s="105"/>
    </row>
    <row r="27" spans="2:12" ht="16.5" thickBot="1">
      <c r="B27" s="201" t="s">
        <v>64</v>
      </c>
      <c r="C27" s="202"/>
      <c r="D27" s="202"/>
      <c r="E27" s="203"/>
      <c r="F27" s="51"/>
      <c r="G27" s="52">
        <f t="shared" ref="G27:I27" si="6">G26*$E$6</f>
        <v>51.8</v>
      </c>
      <c r="H27" s="52">
        <f t="shared" si="6"/>
        <v>51.8</v>
      </c>
      <c r="I27" s="52">
        <f t="shared" si="6"/>
        <v>69.436997319034859</v>
      </c>
      <c r="J27" s="52">
        <f>J26*$E$6</f>
        <v>117.10858677203038</v>
      </c>
      <c r="K27" s="105"/>
    </row>
    <row r="28" spans="2:12">
      <c r="I28" s="53"/>
      <c r="J28" s="53"/>
    </row>
    <row r="29" spans="2:12" ht="15.75">
      <c r="D29" s="40"/>
      <c r="I29" s="53"/>
      <c r="J29" s="53"/>
    </row>
    <row r="30" spans="2:12">
      <c r="D30" s="70"/>
    </row>
    <row r="53" spans="11:11">
      <c r="K53" s="10" t="s">
        <v>65</v>
      </c>
    </row>
  </sheetData>
  <mergeCells count="9">
    <mergeCell ref="G1:J1"/>
    <mergeCell ref="B9:J9"/>
    <mergeCell ref="C25:E25"/>
    <mergeCell ref="B26:E26"/>
    <mergeCell ref="B27:E27"/>
    <mergeCell ref="B23:B24"/>
    <mergeCell ref="C20:E20"/>
    <mergeCell ref="B21:J21"/>
    <mergeCell ref="B11:B20"/>
  </mergeCells>
  <dataValidations disablePrompts="1" count="5">
    <dataValidation type="decimal" operator="equal" allowBlank="1" showInputMessage="1" showErrorMessage="1" sqref="J24">
      <formula1>(G24*1000)/(1.73*$E$3)</formula1>
    </dataValidation>
    <dataValidation type="whole" allowBlank="1" showDropDown="1" showInputMessage="1" showErrorMessage="1" sqref="I11:I19">
      <formula1>H11/$E$5</formula1>
      <formula2>H11/$E$5</formula2>
    </dataValidation>
    <dataValidation type="list" allowBlank="1" showDropDown="1" showInputMessage="1" showErrorMessage="1" promptTitle="Calculation " sqref="H11:H19">
      <formula1>G11</formula1>
    </dataValidation>
    <dataValidation type="decimal" operator="equal" allowBlank="1" showInputMessage="1" showErrorMessage="1" sqref="H23:H24">
      <formula1>G23</formula1>
    </dataValidation>
    <dataValidation type="decimal" operator="equal" allowBlank="1" showInputMessage="1" showErrorMessage="1" sqref="I23:I24">
      <formula1>H23/$E$5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5"/>
  <sheetViews>
    <sheetView topLeftCell="B13" zoomScale="85" zoomScaleNormal="85" workbookViewId="0">
      <selection activeCell="D30" sqref="D30"/>
    </sheetView>
  </sheetViews>
  <sheetFormatPr defaultRowHeight="15"/>
  <cols>
    <col min="2" max="2" width="17" style="9" bestFit="1" customWidth="1"/>
    <col min="3" max="3" width="9.28515625" style="9" customWidth="1"/>
    <col min="4" max="4" width="48.85546875" customWidth="1"/>
    <col min="5" max="5" width="12.140625" style="9" customWidth="1"/>
    <col min="6" max="6" width="17.42578125" style="9" customWidth="1"/>
    <col min="7" max="7" width="16.5703125" style="9" bestFit="1" customWidth="1"/>
    <col min="8" max="8" width="16.7109375" style="18" bestFit="1" customWidth="1"/>
    <col min="9" max="9" width="9.140625" style="9"/>
    <col min="10" max="10" width="14" style="9" bestFit="1" customWidth="1"/>
    <col min="12" max="12" width="12.28515625" customWidth="1"/>
    <col min="239" max="239" width="9.28515625" customWidth="1"/>
    <col min="240" max="240" width="35.5703125" bestFit="1" customWidth="1"/>
    <col min="241" max="243" width="17.42578125" customWidth="1"/>
    <col min="244" max="244" width="16.7109375" bestFit="1" customWidth="1"/>
    <col min="246" max="246" width="12" bestFit="1" customWidth="1"/>
    <col min="495" max="495" width="9.28515625" customWidth="1"/>
    <col min="496" max="496" width="35.5703125" bestFit="1" customWidth="1"/>
    <col min="497" max="499" width="17.42578125" customWidth="1"/>
    <col min="500" max="500" width="16.7109375" bestFit="1" customWidth="1"/>
    <col min="502" max="502" width="12" bestFit="1" customWidth="1"/>
    <col min="751" max="751" width="9.28515625" customWidth="1"/>
    <col min="752" max="752" width="35.5703125" bestFit="1" customWidth="1"/>
    <col min="753" max="755" width="17.42578125" customWidth="1"/>
    <col min="756" max="756" width="16.7109375" bestFit="1" customWidth="1"/>
    <col min="758" max="758" width="12" bestFit="1" customWidth="1"/>
    <col min="1007" max="1007" width="9.28515625" customWidth="1"/>
    <col min="1008" max="1008" width="35.5703125" bestFit="1" customWidth="1"/>
    <col min="1009" max="1011" width="17.42578125" customWidth="1"/>
    <col min="1012" max="1012" width="16.7109375" bestFit="1" customWidth="1"/>
    <col min="1014" max="1014" width="12" bestFit="1" customWidth="1"/>
    <col min="1263" max="1263" width="9.28515625" customWidth="1"/>
    <col min="1264" max="1264" width="35.5703125" bestFit="1" customWidth="1"/>
    <col min="1265" max="1267" width="17.42578125" customWidth="1"/>
    <col min="1268" max="1268" width="16.7109375" bestFit="1" customWidth="1"/>
    <col min="1270" max="1270" width="12" bestFit="1" customWidth="1"/>
    <col min="1519" max="1519" width="9.28515625" customWidth="1"/>
    <col min="1520" max="1520" width="35.5703125" bestFit="1" customWidth="1"/>
    <col min="1521" max="1523" width="17.42578125" customWidth="1"/>
    <col min="1524" max="1524" width="16.7109375" bestFit="1" customWidth="1"/>
    <col min="1526" max="1526" width="12" bestFit="1" customWidth="1"/>
    <col min="1775" max="1775" width="9.28515625" customWidth="1"/>
    <col min="1776" max="1776" width="35.5703125" bestFit="1" customWidth="1"/>
    <col min="1777" max="1779" width="17.42578125" customWidth="1"/>
    <col min="1780" max="1780" width="16.7109375" bestFit="1" customWidth="1"/>
    <col min="1782" max="1782" width="12" bestFit="1" customWidth="1"/>
    <col min="2031" max="2031" width="9.28515625" customWidth="1"/>
    <col min="2032" max="2032" width="35.5703125" bestFit="1" customWidth="1"/>
    <col min="2033" max="2035" width="17.42578125" customWidth="1"/>
    <col min="2036" max="2036" width="16.7109375" bestFit="1" customWidth="1"/>
    <col min="2038" max="2038" width="12" bestFit="1" customWidth="1"/>
    <col min="2287" max="2287" width="9.28515625" customWidth="1"/>
    <col min="2288" max="2288" width="35.5703125" bestFit="1" customWidth="1"/>
    <col min="2289" max="2291" width="17.42578125" customWidth="1"/>
    <col min="2292" max="2292" width="16.7109375" bestFit="1" customWidth="1"/>
    <col min="2294" max="2294" width="12" bestFit="1" customWidth="1"/>
    <col min="2543" max="2543" width="9.28515625" customWidth="1"/>
    <col min="2544" max="2544" width="35.5703125" bestFit="1" customWidth="1"/>
    <col min="2545" max="2547" width="17.42578125" customWidth="1"/>
    <col min="2548" max="2548" width="16.7109375" bestFit="1" customWidth="1"/>
    <col min="2550" max="2550" width="12" bestFit="1" customWidth="1"/>
    <col min="2799" max="2799" width="9.28515625" customWidth="1"/>
    <col min="2800" max="2800" width="35.5703125" bestFit="1" customWidth="1"/>
    <col min="2801" max="2803" width="17.42578125" customWidth="1"/>
    <col min="2804" max="2804" width="16.7109375" bestFit="1" customWidth="1"/>
    <col min="2806" max="2806" width="12" bestFit="1" customWidth="1"/>
    <col min="3055" max="3055" width="9.28515625" customWidth="1"/>
    <col min="3056" max="3056" width="35.5703125" bestFit="1" customWidth="1"/>
    <col min="3057" max="3059" width="17.42578125" customWidth="1"/>
    <col min="3060" max="3060" width="16.7109375" bestFit="1" customWidth="1"/>
    <col min="3062" max="3062" width="12" bestFit="1" customWidth="1"/>
    <col min="3311" max="3311" width="9.28515625" customWidth="1"/>
    <col min="3312" max="3312" width="35.5703125" bestFit="1" customWidth="1"/>
    <col min="3313" max="3315" width="17.42578125" customWidth="1"/>
    <col min="3316" max="3316" width="16.7109375" bestFit="1" customWidth="1"/>
    <col min="3318" max="3318" width="12" bestFit="1" customWidth="1"/>
    <col min="3567" max="3567" width="9.28515625" customWidth="1"/>
    <col min="3568" max="3568" width="35.5703125" bestFit="1" customWidth="1"/>
    <col min="3569" max="3571" width="17.42578125" customWidth="1"/>
    <col min="3572" max="3572" width="16.7109375" bestFit="1" customWidth="1"/>
    <col min="3574" max="3574" width="12" bestFit="1" customWidth="1"/>
    <col min="3823" max="3823" width="9.28515625" customWidth="1"/>
    <col min="3824" max="3824" width="35.5703125" bestFit="1" customWidth="1"/>
    <col min="3825" max="3827" width="17.42578125" customWidth="1"/>
    <col min="3828" max="3828" width="16.7109375" bestFit="1" customWidth="1"/>
    <col min="3830" max="3830" width="12" bestFit="1" customWidth="1"/>
    <col min="4079" max="4079" width="9.28515625" customWidth="1"/>
    <col min="4080" max="4080" width="35.5703125" bestFit="1" customWidth="1"/>
    <col min="4081" max="4083" width="17.42578125" customWidth="1"/>
    <col min="4084" max="4084" width="16.7109375" bestFit="1" customWidth="1"/>
    <col min="4086" max="4086" width="12" bestFit="1" customWidth="1"/>
    <col min="4335" max="4335" width="9.28515625" customWidth="1"/>
    <col min="4336" max="4336" width="35.5703125" bestFit="1" customWidth="1"/>
    <col min="4337" max="4339" width="17.42578125" customWidth="1"/>
    <col min="4340" max="4340" width="16.7109375" bestFit="1" customWidth="1"/>
    <col min="4342" max="4342" width="12" bestFit="1" customWidth="1"/>
    <col min="4591" max="4591" width="9.28515625" customWidth="1"/>
    <col min="4592" max="4592" width="35.5703125" bestFit="1" customWidth="1"/>
    <col min="4593" max="4595" width="17.42578125" customWidth="1"/>
    <col min="4596" max="4596" width="16.7109375" bestFit="1" customWidth="1"/>
    <col min="4598" max="4598" width="12" bestFit="1" customWidth="1"/>
    <col min="4847" max="4847" width="9.28515625" customWidth="1"/>
    <col min="4848" max="4848" width="35.5703125" bestFit="1" customWidth="1"/>
    <col min="4849" max="4851" width="17.42578125" customWidth="1"/>
    <col min="4852" max="4852" width="16.7109375" bestFit="1" customWidth="1"/>
    <col min="4854" max="4854" width="12" bestFit="1" customWidth="1"/>
    <col min="5103" max="5103" width="9.28515625" customWidth="1"/>
    <col min="5104" max="5104" width="35.5703125" bestFit="1" customWidth="1"/>
    <col min="5105" max="5107" width="17.42578125" customWidth="1"/>
    <col min="5108" max="5108" width="16.7109375" bestFit="1" customWidth="1"/>
    <col min="5110" max="5110" width="12" bestFit="1" customWidth="1"/>
    <col min="5359" max="5359" width="9.28515625" customWidth="1"/>
    <col min="5360" max="5360" width="35.5703125" bestFit="1" customWidth="1"/>
    <col min="5361" max="5363" width="17.42578125" customWidth="1"/>
    <col min="5364" max="5364" width="16.7109375" bestFit="1" customWidth="1"/>
    <col min="5366" max="5366" width="12" bestFit="1" customWidth="1"/>
    <col min="5615" max="5615" width="9.28515625" customWidth="1"/>
    <col min="5616" max="5616" width="35.5703125" bestFit="1" customWidth="1"/>
    <col min="5617" max="5619" width="17.42578125" customWidth="1"/>
    <col min="5620" max="5620" width="16.7109375" bestFit="1" customWidth="1"/>
    <col min="5622" max="5622" width="12" bestFit="1" customWidth="1"/>
    <col min="5871" max="5871" width="9.28515625" customWidth="1"/>
    <col min="5872" max="5872" width="35.5703125" bestFit="1" customWidth="1"/>
    <col min="5873" max="5875" width="17.42578125" customWidth="1"/>
    <col min="5876" max="5876" width="16.7109375" bestFit="1" customWidth="1"/>
    <col min="5878" max="5878" width="12" bestFit="1" customWidth="1"/>
    <col min="6127" max="6127" width="9.28515625" customWidth="1"/>
    <col min="6128" max="6128" width="35.5703125" bestFit="1" customWidth="1"/>
    <col min="6129" max="6131" width="17.42578125" customWidth="1"/>
    <col min="6132" max="6132" width="16.7109375" bestFit="1" customWidth="1"/>
    <col min="6134" max="6134" width="12" bestFit="1" customWidth="1"/>
    <col min="6383" max="6383" width="9.28515625" customWidth="1"/>
    <col min="6384" max="6384" width="35.5703125" bestFit="1" customWidth="1"/>
    <col min="6385" max="6387" width="17.42578125" customWidth="1"/>
    <col min="6388" max="6388" width="16.7109375" bestFit="1" customWidth="1"/>
    <col min="6390" max="6390" width="12" bestFit="1" customWidth="1"/>
    <col min="6639" max="6639" width="9.28515625" customWidth="1"/>
    <col min="6640" max="6640" width="35.5703125" bestFit="1" customWidth="1"/>
    <col min="6641" max="6643" width="17.42578125" customWidth="1"/>
    <col min="6644" max="6644" width="16.7109375" bestFit="1" customWidth="1"/>
    <col min="6646" max="6646" width="12" bestFit="1" customWidth="1"/>
    <col min="6895" max="6895" width="9.28515625" customWidth="1"/>
    <col min="6896" max="6896" width="35.5703125" bestFit="1" customWidth="1"/>
    <col min="6897" max="6899" width="17.42578125" customWidth="1"/>
    <col min="6900" max="6900" width="16.7109375" bestFit="1" customWidth="1"/>
    <col min="6902" max="6902" width="12" bestFit="1" customWidth="1"/>
    <col min="7151" max="7151" width="9.28515625" customWidth="1"/>
    <col min="7152" max="7152" width="35.5703125" bestFit="1" customWidth="1"/>
    <col min="7153" max="7155" width="17.42578125" customWidth="1"/>
    <col min="7156" max="7156" width="16.7109375" bestFit="1" customWidth="1"/>
    <col min="7158" max="7158" width="12" bestFit="1" customWidth="1"/>
    <col min="7407" max="7407" width="9.28515625" customWidth="1"/>
    <col min="7408" max="7408" width="35.5703125" bestFit="1" customWidth="1"/>
    <col min="7409" max="7411" width="17.42578125" customWidth="1"/>
    <col min="7412" max="7412" width="16.7109375" bestFit="1" customWidth="1"/>
    <col min="7414" max="7414" width="12" bestFit="1" customWidth="1"/>
    <col min="7663" max="7663" width="9.28515625" customWidth="1"/>
    <col min="7664" max="7664" width="35.5703125" bestFit="1" customWidth="1"/>
    <col min="7665" max="7667" width="17.42578125" customWidth="1"/>
    <col min="7668" max="7668" width="16.7109375" bestFit="1" customWidth="1"/>
    <col min="7670" max="7670" width="12" bestFit="1" customWidth="1"/>
    <col min="7919" max="7919" width="9.28515625" customWidth="1"/>
    <col min="7920" max="7920" width="35.5703125" bestFit="1" customWidth="1"/>
    <col min="7921" max="7923" width="17.42578125" customWidth="1"/>
    <col min="7924" max="7924" width="16.7109375" bestFit="1" customWidth="1"/>
    <col min="7926" max="7926" width="12" bestFit="1" customWidth="1"/>
    <col min="8175" max="8175" width="9.28515625" customWidth="1"/>
    <col min="8176" max="8176" width="35.5703125" bestFit="1" customWidth="1"/>
    <col min="8177" max="8179" width="17.42578125" customWidth="1"/>
    <col min="8180" max="8180" width="16.7109375" bestFit="1" customWidth="1"/>
    <col min="8182" max="8182" width="12" bestFit="1" customWidth="1"/>
    <col min="8431" max="8431" width="9.28515625" customWidth="1"/>
    <col min="8432" max="8432" width="35.5703125" bestFit="1" customWidth="1"/>
    <col min="8433" max="8435" width="17.42578125" customWidth="1"/>
    <col min="8436" max="8436" width="16.7109375" bestFit="1" customWidth="1"/>
    <col min="8438" max="8438" width="12" bestFit="1" customWidth="1"/>
    <col min="8687" max="8687" width="9.28515625" customWidth="1"/>
    <col min="8688" max="8688" width="35.5703125" bestFit="1" customWidth="1"/>
    <col min="8689" max="8691" width="17.42578125" customWidth="1"/>
    <col min="8692" max="8692" width="16.7109375" bestFit="1" customWidth="1"/>
    <col min="8694" max="8694" width="12" bestFit="1" customWidth="1"/>
    <col min="8943" max="8943" width="9.28515625" customWidth="1"/>
    <col min="8944" max="8944" width="35.5703125" bestFit="1" customWidth="1"/>
    <col min="8945" max="8947" width="17.42578125" customWidth="1"/>
    <col min="8948" max="8948" width="16.7109375" bestFit="1" customWidth="1"/>
    <col min="8950" max="8950" width="12" bestFit="1" customWidth="1"/>
    <col min="9199" max="9199" width="9.28515625" customWidth="1"/>
    <col min="9200" max="9200" width="35.5703125" bestFit="1" customWidth="1"/>
    <col min="9201" max="9203" width="17.42578125" customWidth="1"/>
    <col min="9204" max="9204" width="16.7109375" bestFit="1" customWidth="1"/>
    <col min="9206" max="9206" width="12" bestFit="1" customWidth="1"/>
    <col min="9455" max="9455" width="9.28515625" customWidth="1"/>
    <col min="9456" max="9456" width="35.5703125" bestFit="1" customWidth="1"/>
    <col min="9457" max="9459" width="17.42578125" customWidth="1"/>
    <col min="9460" max="9460" width="16.7109375" bestFit="1" customWidth="1"/>
    <col min="9462" max="9462" width="12" bestFit="1" customWidth="1"/>
    <col min="9711" max="9711" width="9.28515625" customWidth="1"/>
    <col min="9712" max="9712" width="35.5703125" bestFit="1" customWidth="1"/>
    <col min="9713" max="9715" width="17.42578125" customWidth="1"/>
    <col min="9716" max="9716" width="16.7109375" bestFit="1" customWidth="1"/>
    <col min="9718" max="9718" width="12" bestFit="1" customWidth="1"/>
    <col min="9967" max="9967" width="9.28515625" customWidth="1"/>
    <col min="9968" max="9968" width="35.5703125" bestFit="1" customWidth="1"/>
    <col min="9969" max="9971" width="17.42578125" customWidth="1"/>
    <col min="9972" max="9972" width="16.7109375" bestFit="1" customWidth="1"/>
    <col min="9974" max="9974" width="12" bestFit="1" customWidth="1"/>
    <col min="10223" max="10223" width="9.28515625" customWidth="1"/>
    <col min="10224" max="10224" width="35.5703125" bestFit="1" customWidth="1"/>
    <col min="10225" max="10227" width="17.42578125" customWidth="1"/>
    <col min="10228" max="10228" width="16.7109375" bestFit="1" customWidth="1"/>
    <col min="10230" max="10230" width="12" bestFit="1" customWidth="1"/>
    <col min="10479" max="10479" width="9.28515625" customWidth="1"/>
    <col min="10480" max="10480" width="35.5703125" bestFit="1" customWidth="1"/>
    <col min="10481" max="10483" width="17.42578125" customWidth="1"/>
    <col min="10484" max="10484" width="16.7109375" bestFit="1" customWidth="1"/>
    <col min="10486" max="10486" width="12" bestFit="1" customWidth="1"/>
    <col min="10735" max="10735" width="9.28515625" customWidth="1"/>
    <col min="10736" max="10736" width="35.5703125" bestFit="1" customWidth="1"/>
    <col min="10737" max="10739" width="17.42578125" customWidth="1"/>
    <col min="10740" max="10740" width="16.7109375" bestFit="1" customWidth="1"/>
    <col min="10742" max="10742" width="12" bestFit="1" customWidth="1"/>
    <col min="10991" max="10991" width="9.28515625" customWidth="1"/>
    <col min="10992" max="10992" width="35.5703125" bestFit="1" customWidth="1"/>
    <col min="10993" max="10995" width="17.42578125" customWidth="1"/>
    <col min="10996" max="10996" width="16.7109375" bestFit="1" customWidth="1"/>
    <col min="10998" max="10998" width="12" bestFit="1" customWidth="1"/>
    <col min="11247" max="11247" width="9.28515625" customWidth="1"/>
    <col min="11248" max="11248" width="35.5703125" bestFit="1" customWidth="1"/>
    <col min="11249" max="11251" width="17.42578125" customWidth="1"/>
    <col min="11252" max="11252" width="16.7109375" bestFit="1" customWidth="1"/>
    <col min="11254" max="11254" width="12" bestFit="1" customWidth="1"/>
    <col min="11503" max="11503" width="9.28515625" customWidth="1"/>
    <col min="11504" max="11504" width="35.5703125" bestFit="1" customWidth="1"/>
    <col min="11505" max="11507" width="17.42578125" customWidth="1"/>
    <col min="11508" max="11508" width="16.7109375" bestFit="1" customWidth="1"/>
    <col min="11510" max="11510" width="12" bestFit="1" customWidth="1"/>
    <col min="11759" max="11759" width="9.28515625" customWidth="1"/>
    <col min="11760" max="11760" width="35.5703125" bestFit="1" customWidth="1"/>
    <col min="11761" max="11763" width="17.42578125" customWidth="1"/>
    <col min="11764" max="11764" width="16.7109375" bestFit="1" customWidth="1"/>
    <col min="11766" max="11766" width="12" bestFit="1" customWidth="1"/>
    <col min="12015" max="12015" width="9.28515625" customWidth="1"/>
    <col min="12016" max="12016" width="35.5703125" bestFit="1" customWidth="1"/>
    <col min="12017" max="12019" width="17.42578125" customWidth="1"/>
    <col min="12020" max="12020" width="16.7109375" bestFit="1" customWidth="1"/>
    <col min="12022" max="12022" width="12" bestFit="1" customWidth="1"/>
    <col min="12271" max="12271" width="9.28515625" customWidth="1"/>
    <col min="12272" max="12272" width="35.5703125" bestFit="1" customWidth="1"/>
    <col min="12273" max="12275" width="17.42578125" customWidth="1"/>
    <col min="12276" max="12276" width="16.7109375" bestFit="1" customWidth="1"/>
    <col min="12278" max="12278" width="12" bestFit="1" customWidth="1"/>
    <col min="12527" max="12527" width="9.28515625" customWidth="1"/>
    <col min="12528" max="12528" width="35.5703125" bestFit="1" customWidth="1"/>
    <col min="12529" max="12531" width="17.42578125" customWidth="1"/>
    <col min="12532" max="12532" width="16.7109375" bestFit="1" customWidth="1"/>
    <col min="12534" max="12534" width="12" bestFit="1" customWidth="1"/>
    <col min="12783" max="12783" width="9.28515625" customWidth="1"/>
    <col min="12784" max="12784" width="35.5703125" bestFit="1" customWidth="1"/>
    <col min="12785" max="12787" width="17.42578125" customWidth="1"/>
    <col min="12788" max="12788" width="16.7109375" bestFit="1" customWidth="1"/>
    <col min="12790" max="12790" width="12" bestFit="1" customWidth="1"/>
    <col min="13039" max="13039" width="9.28515625" customWidth="1"/>
    <col min="13040" max="13040" width="35.5703125" bestFit="1" customWidth="1"/>
    <col min="13041" max="13043" width="17.42578125" customWidth="1"/>
    <col min="13044" max="13044" width="16.7109375" bestFit="1" customWidth="1"/>
    <col min="13046" max="13046" width="12" bestFit="1" customWidth="1"/>
    <col min="13295" max="13295" width="9.28515625" customWidth="1"/>
    <col min="13296" max="13296" width="35.5703125" bestFit="1" customWidth="1"/>
    <col min="13297" max="13299" width="17.42578125" customWidth="1"/>
    <col min="13300" max="13300" width="16.7109375" bestFit="1" customWidth="1"/>
    <col min="13302" max="13302" width="12" bestFit="1" customWidth="1"/>
    <col min="13551" max="13551" width="9.28515625" customWidth="1"/>
    <col min="13552" max="13552" width="35.5703125" bestFit="1" customWidth="1"/>
    <col min="13553" max="13555" width="17.42578125" customWidth="1"/>
    <col min="13556" max="13556" width="16.7109375" bestFit="1" customWidth="1"/>
    <col min="13558" max="13558" width="12" bestFit="1" customWidth="1"/>
    <col min="13807" max="13807" width="9.28515625" customWidth="1"/>
    <col min="13808" max="13808" width="35.5703125" bestFit="1" customWidth="1"/>
    <col min="13809" max="13811" width="17.42578125" customWidth="1"/>
    <col min="13812" max="13812" width="16.7109375" bestFit="1" customWidth="1"/>
    <col min="13814" max="13814" width="12" bestFit="1" customWidth="1"/>
    <col min="14063" max="14063" width="9.28515625" customWidth="1"/>
    <col min="14064" max="14064" width="35.5703125" bestFit="1" customWidth="1"/>
    <col min="14065" max="14067" width="17.42578125" customWidth="1"/>
    <col min="14068" max="14068" width="16.7109375" bestFit="1" customWidth="1"/>
    <col min="14070" max="14070" width="12" bestFit="1" customWidth="1"/>
    <col min="14319" max="14319" width="9.28515625" customWidth="1"/>
    <col min="14320" max="14320" width="35.5703125" bestFit="1" customWidth="1"/>
    <col min="14321" max="14323" width="17.42578125" customWidth="1"/>
    <col min="14324" max="14324" width="16.7109375" bestFit="1" customWidth="1"/>
    <col min="14326" max="14326" width="12" bestFit="1" customWidth="1"/>
    <col min="14575" max="14575" width="9.28515625" customWidth="1"/>
    <col min="14576" max="14576" width="35.5703125" bestFit="1" customWidth="1"/>
    <col min="14577" max="14579" width="17.42578125" customWidth="1"/>
    <col min="14580" max="14580" width="16.7109375" bestFit="1" customWidth="1"/>
    <col min="14582" max="14582" width="12" bestFit="1" customWidth="1"/>
    <col min="14831" max="14831" width="9.28515625" customWidth="1"/>
    <col min="14832" max="14832" width="35.5703125" bestFit="1" customWidth="1"/>
    <col min="14833" max="14835" width="17.42578125" customWidth="1"/>
    <col min="14836" max="14836" width="16.7109375" bestFit="1" customWidth="1"/>
    <col min="14838" max="14838" width="12" bestFit="1" customWidth="1"/>
    <col min="15087" max="15087" width="9.28515625" customWidth="1"/>
    <col min="15088" max="15088" width="35.5703125" bestFit="1" customWidth="1"/>
    <col min="15089" max="15091" width="17.42578125" customWidth="1"/>
    <col min="15092" max="15092" width="16.7109375" bestFit="1" customWidth="1"/>
    <col min="15094" max="15094" width="12" bestFit="1" customWidth="1"/>
    <col min="15343" max="15343" width="9.28515625" customWidth="1"/>
    <col min="15344" max="15344" width="35.5703125" bestFit="1" customWidth="1"/>
    <col min="15345" max="15347" width="17.42578125" customWidth="1"/>
    <col min="15348" max="15348" width="16.7109375" bestFit="1" customWidth="1"/>
    <col min="15350" max="15350" width="12" bestFit="1" customWidth="1"/>
    <col min="15599" max="15599" width="9.28515625" customWidth="1"/>
    <col min="15600" max="15600" width="35.5703125" bestFit="1" customWidth="1"/>
    <col min="15601" max="15603" width="17.42578125" customWidth="1"/>
    <col min="15604" max="15604" width="16.7109375" bestFit="1" customWidth="1"/>
    <col min="15606" max="15606" width="12" bestFit="1" customWidth="1"/>
    <col min="15855" max="15855" width="9.28515625" customWidth="1"/>
    <col min="15856" max="15856" width="35.5703125" bestFit="1" customWidth="1"/>
    <col min="15857" max="15859" width="17.42578125" customWidth="1"/>
    <col min="15860" max="15860" width="16.7109375" bestFit="1" customWidth="1"/>
    <col min="15862" max="15862" width="12" bestFit="1" customWidth="1"/>
    <col min="16111" max="16111" width="9.28515625" customWidth="1"/>
    <col min="16112" max="16112" width="35.5703125" bestFit="1" customWidth="1"/>
    <col min="16113" max="16115" width="17.42578125" customWidth="1"/>
    <col min="16116" max="16116" width="16.7109375" bestFit="1" customWidth="1"/>
    <col min="16118" max="16118" width="12" bestFit="1" customWidth="1"/>
    <col min="16384" max="16384" width="9.140625" customWidth="1"/>
  </cols>
  <sheetData>
    <row r="1" spans="2:12">
      <c r="D1" s="11" t="s">
        <v>0</v>
      </c>
      <c r="E1" s="12">
        <v>0.8</v>
      </c>
      <c r="G1" s="189" t="s">
        <v>1</v>
      </c>
      <c r="H1" s="190"/>
      <c r="I1" s="190"/>
      <c r="J1" s="191"/>
    </row>
    <row r="2" spans="2:12">
      <c r="D2" s="11" t="s">
        <v>2</v>
      </c>
      <c r="E2" s="12">
        <v>0.8</v>
      </c>
      <c r="G2" s="13" t="s">
        <v>3</v>
      </c>
      <c r="H2" s="14">
        <f>SUM(H23,H32)</f>
        <v>16</v>
      </c>
      <c r="I2" s="15"/>
      <c r="J2" s="15"/>
    </row>
    <row r="3" spans="2:12">
      <c r="D3" s="11" t="s">
        <v>4</v>
      </c>
      <c r="E3" s="12">
        <v>415</v>
      </c>
      <c r="G3" s="13" t="s">
        <v>5</v>
      </c>
      <c r="H3" s="14">
        <f>(H2/$E$5)</f>
        <v>21.447721179624665</v>
      </c>
      <c r="I3" s="15"/>
      <c r="J3" s="15"/>
    </row>
    <row r="4" spans="2:12">
      <c r="D4" s="11" t="s">
        <v>6</v>
      </c>
      <c r="E4" s="12">
        <v>230</v>
      </c>
      <c r="G4" s="13" t="s">
        <v>7</v>
      </c>
      <c r="H4" s="14">
        <f>(H2*1000)/(1.73*$E$3*$E$2)</f>
        <v>27.857093112333729</v>
      </c>
      <c r="I4" s="15"/>
      <c r="J4" s="15"/>
    </row>
    <row r="5" spans="2:12">
      <c r="D5" s="11" t="s">
        <v>8</v>
      </c>
      <c r="E5" s="12">
        <v>0.746</v>
      </c>
      <c r="F5" s="16"/>
      <c r="G5" s="13" t="s">
        <v>9</v>
      </c>
      <c r="H5" s="14">
        <f>H2*$E$6</f>
        <v>20</v>
      </c>
      <c r="I5" s="15"/>
      <c r="J5" s="15"/>
    </row>
    <row r="6" spans="2:12">
      <c r="D6" s="11" t="s">
        <v>10</v>
      </c>
      <c r="E6" s="12">
        <v>1.25</v>
      </c>
      <c r="F6" s="16"/>
      <c r="G6" s="13" t="s">
        <v>11</v>
      </c>
      <c r="H6" s="14">
        <f>H3*$E$6</f>
        <v>26.809651474530831</v>
      </c>
      <c r="I6" s="15"/>
      <c r="J6" s="15"/>
    </row>
    <row r="7" spans="2:12">
      <c r="D7" s="11" t="s">
        <v>12</v>
      </c>
      <c r="E7" s="12">
        <v>0.8</v>
      </c>
      <c r="F7" s="16"/>
      <c r="G7" s="13" t="s">
        <v>13</v>
      </c>
      <c r="H7" s="14">
        <f>H4*$E$6</f>
        <v>34.821366390417161</v>
      </c>
      <c r="I7" s="15"/>
      <c r="J7" s="15"/>
    </row>
    <row r="8" spans="2:12" ht="15.75" thickBot="1">
      <c r="D8" s="17"/>
      <c r="E8" s="16"/>
      <c r="F8" s="16"/>
      <c r="I8" s="19"/>
    </row>
    <row r="9" spans="2:12" ht="16.5" thickBot="1">
      <c r="B9" s="213" t="s">
        <v>14</v>
      </c>
      <c r="C9" s="214"/>
      <c r="D9" s="214"/>
      <c r="E9" s="214"/>
      <c r="F9" s="214"/>
      <c r="G9" s="214"/>
      <c r="H9" s="214"/>
      <c r="I9" s="214"/>
      <c r="J9" s="215"/>
    </row>
    <row r="10" spans="2:12" ht="16.5" thickBot="1">
      <c r="B10" s="79" t="s">
        <v>15</v>
      </c>
      <c r="C10" s="104" t="s">
        <v>16</v>
      </c>
      <c r="D10" s="80" t="s">
        <v>17</v>
      </c>
      <c r="E10" s="81" t="s">
        <v>18</v>
      </c>
      <c r="F10" s="81" t="s">
        <v>19</v>
      </c>
      <c r="G10" s="81" t="s">
        <v>20</v>
      </c>
      <c r="H10" s="82" t="s">
        <v>21</v>
      </c>
      <c r="I10" s="81" t="s">
        <v>22</v>
      </c>
      <c r="J10" s="83" t="s">
        <v>23</v>
      </c>
      <c r="K10" s="125" t="s">
        <v>46</v>
      </c>
      <c r="L10" s="125" t="s">
        <v>47</v>
      </c>
    </row>
    <row r="11" spans="2:12">
      <c r="B11" s="217" t="s">
        <v>24</v>
      </c>
      <c r="C11" s="106">
        <v>1</v>
      </c>
      <c r="D11" s="95" t="s">
        <v>84</v>
      </c>
      <c r="E11" s="94" t="s">
        <v>85</v>
      </c>
      <c r="F11" s="97" t="s">
        <v>50</v>
      </c>
      <c r="G11" s="97">
        <v>1.5</v>
      </c>
      <c r="H11" s="97">
        <f>G11</f>
        <v>1.5</v>
      </c>
      <c r="I11" s="98">
        <f>H11/$E$5</f>
        <v>2.0107238605898123</v>
      </c>
      <c r="J11" s="161">
        <f>(H11*1000)/(1.732*$E$1*$E$2*$E$3)</f>
        <v>3.2607334650379807</v>
      </c>
      <c r="K11" s="55">
        <v>4</v>
      </c>
      <c r="L11" s="97">
        <v>1.1000000000000001</v>
      </c>
    </row>
    <row r="12" spans="2:12">
      <c r="B12" s="218"/>
      <c r="C12" s="160">
        <v>2</v>
      </c>
      <c r="D12" s="84" t="s">
        <v>86</v>
      </c>
      <c r="E12" s="13" t="s">
        <v>87</v>
      </c>
      <c r="F12" s="86" t="s">
        <v>50</v>
      </c>
      <c r="G12" s="86">
        <v>1.5</v>
      </c>
      <c r="H12" s="86">
        <f t="shared" ref="H12:H13" si="0">G12</f>
        <v>1.5</v>
      </c>
      <c r="I12" s="87">
        <f t="shared" ref="I12:I13" si="1">H12/$E$5</f>
        <v>2.0107238605898123</v>
      </c>
      <c r="J12" s="162">
        <f t="shared" ref="J12:J13" si="2">(H12*1000)/(1.732*$E$1*$E$2*$E$3)</f>
        <v>3.2607334650379807</v>
      </c>
      <c r="K12" s="55">
        <v>4</v>
      </c>
      <c r="L12" s="86">
        <v>1.1000000000000001</v>
      </c>
    </row>
    <row r="13" spans="2:12">
      <c r="B13" s="218"/>
      <c r="C13" s="160">
        <v>3</v>
      </c>
      <c r="D13" s="84" t="s">
        <v>88</v>
      </c>
      <c r="E13" s="13" t="s">
        <v>89</v>
      </c>
      <c r="F13" s="86" t="s">
        <v>50</v>
      </c>
      <c r="G13" s="86">
        <v>1.5</v>
      </c>
      <c r="H13" s="86">
        <f t="shared" si="0"/>
        <v>1.5</v>
      </c>
      <c r="I13" s="87">
        <f t="shared" si="1"/>
        <v>2.0107238605898123</v>
      </c>
      <c r="J13" s="162">
        <f t="shared" si="2"/>
        <v>3.2607334650379807</v>
      </c>
      <c r="K13" s="55">
        <v>4</v>
      </c>
      <c r="L13" s="86">
        <v>1.1000000000000001</v>
      </c>
    </row>
    <row r="14" spans="2:12">
      <c r="B14" s="218"/>
      <c r="C14" s="160">
        <v>4</v>
      </c>
      <c r="D14" s="84" t="s">
        <v>90</v>
      </c>
      <c r="E14" s="13" t="s">
        <v>91</v>
      </c>
      <c r="F14" s="86" t="s">
        <v>50</v>
      </c>
      <c r="G14" s="86">
        <v>0.75</v>
      </c>
      <c r="H14" s="86">
        <f t="shared" ref="H14:H22" si="3">G14</f>
        <v>0.75</v>
      </c>
      <c r="I14" s="87">
        <f t="shared" ref="I14:I22" si="4">H14/$E$5</f>
        <v>1.0053619302949062</v>
      </c>
      <c r="J14" s="162">
        <f>(H14*1000)/(1.732*$E$1*$E$2*$E$3)</f>
        <v>1.6303667325189903</v>
      </c>
      <c r="K14" s="55">
        <v>2.2999999999999998</v>
      </c>
      <c r="L14" s="86">
        <v>0.75</v>
      </c>
    </row>
    <row r="15" spans="2:12">
      <c r="B15" s="218"/>
      <c r="C15" s="160">
        <v>5</v>
      </c>
      <c r="D15" s="84" t="s">
        <v>92</v>
      </c>
      <c r="E15" s="13" t="s">
        <v>93</v>
      </c>
      <c r="F15" s="86" t="s">
        <v>50</v>
      </c>
      <c r="G15" s="86">
        <v>0.75</v>
      </c>
      <c r="H15" s="86">
        <f t="shared" si="3"/>
        <v>0.75</v>
      </c>
      <c r="I15" s="87">
        <f t="shared" si="4"/>
        <v>1.0053619302949062</v>
      </c>
      <c r="J15" s="162">
        <f>(H15*1000)/(1.732*$E$1*$E$2*$E$3)</f>
        <v>1.6303667325189903</v>
      </c>
      <c r="K15" s="55">
        <v>2.2999999999999998</v>
      </c>
      <c r="L15" s="86">
        <v>0.75</v>
      </c>
    </row>
    <row r="16" spans="2:12">
      <c r="B16" s="218"/>
      <c r="C16" s="160">
        <v>6</v>
      </c>
      <c r="D16" s="84" t="s">
        <v>94</v>
      </c>
      <c r="E16" s="13" t="s">
        <v>95</v>
      </c>
      <c r="F16" s="86" t="s">
        <v>96</v>
      </c>
      <c r="G16" s="86">
        <v>0.75</v>
      </c>
      <c r="H16" s="86">
        <f t="shared" ref="H16" si="5">G16</f>
        <v>0.75</v>
      </c>
      <c r="I16" s="87">
        <f t="shared" si="4"/>
        <v>1.0053619302949062</v>
      </c>
      <c r="J16" s="162">
        <f>(H16*1000)/(1.732*$E$1*$E$2*$E$3)</f>
        <v>1.6303667325189903</v>
      </c>
      <c r="K16" s="55">
        <v>1.6</v>
      </c>
      <c r="L16" s="86">
        <v>0.75</v>
      </c>
    </row>
    <row r="17" spans="2:12">
      <c r="B17" s="218"/>
      <c r="C17" s="160">
        <v>7</v>
      </c>
      <c r="D17" s="84" t="s">
        <v>97</v>
      </c>
      <c r="E17" s="13" t="s">
        <v>98</v>
      </c>
      <c r="F17" s="86" t="s">
        <v>50</v>
      </c>
      <c r="G17" s="86">
        <v>0.75</v>
      </c>
      <c r="H17" s="86">
        <f t="shared" si="3"/>
        <v>0.75</v>
      </c>
      <c r="I17" s="87">
        <f t="shared" si="4"/>
        <v>1.0053619302949062</v>
      </c>
      <c r="J17" s="162">
        <f>(H17*1000)/(1.732*$E$1*$E$2*$E$3)</f>
        <v>1.6303667325189903</v>
      </c>
      <c r="K17" s="55">
        <v>2.2999999999999998</v>
      </c>
      <c r="L17" s="86">
        <v>0.75</v>
      </c>
    </row>
    <row r="18" spans="2:12">
      <c r="B18" s="218"/>
      <c r="C18" s="160">
        <v>8</v>
      </c>
      <c r="D18" s="84" t="s">
        <v>99</v>
      </c>
      <c r="E18" s="13" t="s">
        <v>100</v>
      </c>
      <c r="F18" s="86" t="s">
        <v>50</v>
      </c>
      <c r="G18" s="86">
        <v>0.75</v>
      </c>
      <c r="H18" s="86">
        <f t="shared" si="3"/>
        <v>0.75</v>
      </c>
      <c r="I18" s="87">
        <f t="shared" si="4"/>
        <v>1.0053619302949062</v>
      </c>
      <c r="J18" s="162">
        <f>(H18*1000)/(1.732*$E$1*$E$2*$E$3)</f>
        <v>1.6303667325189903</v>
      </c>
      <c r="K18" s="55">
        <v>2.2999999999999998</v>
      </c>
      <c r="L18" s="86">
        <v>0.75</v>
      </c>
    </row>
    <row r="19" spans="2:12">
      <c r="B19" s="218"/>
      <c r="C19" s="160">
        <v>9</v>
      </c>
      <c r="D19" s="84" t="s">
        <v>101</v>
      </c>
      <c r="E19" s="13" t="s">
        <v>102</v>
      </c>
      <c r="F19" s="86" t="s">
        <v>50</v>
      </c>
      <c r="G19" s="86">
        <v>0.75</v>
      </c>
      <c r="H19" s="86">
        <f t="shared" si="3"/>
        <v>0.75</v>
      </c>
      <c r="I19" s="87">
        <f t="shared" si="4"/>
        <v>1.0053619302949062</v>
      </c>
      <c r="J19" s="162">
        <f t="shared" ref="J19:J22" si="6">(H19*1000)/(1.732*$E$1*$E$2*$E$3)</f>
        <v>1.6303667325189903</v>
      </c>
      <c r="K19" s="55">
        <v>2.2999999999999998</v>
      </c>
      <c r="L19" s="86">
        <v>0.75</v>
      </c>
    </row>
    <row r="20" spans="2:12">
      <c r="B20" s="218"/>
      <c r="C20" s="160">
        <v>10</v>
      </c>
      <c r="D20" s="84" t="s">
        <v>103</v>
      </c>
      <c r="E20" s="13" t="s">
        <v>104</v>
      </c>
      <c r="F20" s="86" t="s">
        <v>50</v>
      </c>
      <c r="G20" s="86">
        <v>0.75</v>
      </c>
      <c r="H20" s="86">
        <f t="shared" si="3"/>
        <v>0.75</v>
      </c>
      <c r="I20" s="87">
        <f t="shared" si="4"/>
        <v>1.0053619302949062</v>
      </c>
      <c r="J20" s="162">
        <f t="shared" si="6"/>
        <v>1.6303667325189903</v>
      </c>
      <c r="K20" s="55">
        <v>2.2999999999999998</v>
      </c>
      <c r="L20" s="86">
        <v>0.75</v>
      </c>
    </row>
    <row r="21" spans="2:12">
      <c r="B21" s="218"/>
      <c r="C21" s="160">
        <v>11</v>
      </c>
      <c r="D21" s="84" t="s">
        <v>105</v>
      </c>
      <c r="E21" s="13" t="s">
        <v>106</v>
      </c>
      <c r="F21" s="86" t="s">
        <v>50</v>
      </c>
      <c r="G21" s="86">
        <v>0.75</v>
      </c>
      <c r="H21" s="86">
        <f t="shared" si="3"/>
        <v>0.75</v>
      </c>
      <c r="I21" s="87">
        <f t="shared" si="4"/>
        <v>1.0053619302949062</v>
      </c>
      <c r="J21" s="162">
        <f t="shared" si="6"/>
        <v>1.6303667325189903</v>
      </c>
      <c r="K21" s="55">
        <v>2.2999999999999998</v>
      </c>
      <c r="L21" s="86">
        <v>0.75</v>
      </c>
    </row>
    <row r="22" spans="2:12" ht="15.75" thickBot="1">
      <c r="B22" s="219"/>
      <c r="C22" s="107">
        <v>12</v>
      </c>
      <c r="D22" s="100" t="s">
        <v>107</v>
      </c>
      <c r="E22" s="99" t="s">
        <v>108</v>
      </c>
      <c r="F22" s="102" t="s">
        <v>96</v>
      </c>
      <c r="G22" s="102">
        <v>1.1000000000000001</v>
      </c>
      <c r="H22" s="102">
        <f t="shared" si="3"/>
        <v>1.1000000000000001</v>
      </c>
      <c r="I22" s="103">
        <f t="shared" si="4"/>
        <v>1.4745308310991958</v>
      </c>
      <c r="J22" s="163">
        <f t="shared" si="6"/>
        <v>2.3912045410278524</v>
      </c>
      <c r="K22" s="55">
        <v>2.4</v>
      </c>
      <c r="L22" s="102">
        <v>1.1000000000000001</v>
      </c>
    </row>
    <row r="23" spans="2:12" ht="16.5" thickBot="1">
      <c r="B23" s="74"/>
      <c r="C23" s="216" t="s">
        <v>36</v>
      </c>
      <c r="D23" s="216"/>
      <c r="E23" s="216"/>
      <c r="F23" s="75"/>
      <c r="G23" s="76">
        <f>SUM(G11:G22)</f>
        <v>11.6</v>
      </c>
      <c r="H23" s="76">
        <f>SUM(H11:H22)</f>
        <v>11.6</v>
      </c>
      <c r="I23" s="76">
        <f>SUM(I11:I22)</f>
        <v>15.549597855227885</v>
      </c>
      <c r="J23" s="77">
        <f>SUM(J11:J22)</f>
        <v>25.216338796293716</v>
      </c>
      <c r="K23" s="77">
        <f>SUM(K11:K22)</f>
        <v>32.100000000000009</v>
      </c>
    </row>
    <row r="24" spans="2:12" ht="16.5" thickBot="1">
      <c r="B24" s="198" t="s">
        <v>37</v>
      </c>
      <c r="C24" s="199"/>
      <c r="D24" s="199"/>
      <c r="E24" s="199"/>
      <c r="F24" s="199"/>
      <c r="G24" s="199"/>
      <c r="H24" s="199"/>
      <c r="I24" s="199"/>
      <c r="J24" s="200"/>
    </row>
    <row r="25" spans="2:12" ht="15.75">
      <c r="B25" s="34"/>
      <c r="C25" s="36" t="s">
        <v>16</v>
      </c>
      <c r="D25" s="35" t="s">
        <v>17</v>
      </c>
      <c r="E25" s="36" t="s">
        <v>18</v>
      </c>
      <c r="F25" s="36" t="s">
        <v>38</v>
      </c>
      <c r="G25" s="36" t="s">
        <v>20</v>
      </c>
      <c r="H25" s="37" t="s">
        <v>21</v>
      </c>
      <c r="I25" s="38" t="s">
        <v>22</v>
      </c>
      <c r="J25" s="39" t="s">
        <v>39</v>
      </c>
      <c r="K25" s="54" t="s">
        <v>62</v>
      </c>
    </row>
    <row r="26" spans="2:12">
      <c r="B26" s="196" t="s">
        <v>40</v>
      </c>
      <c r="C26" s="13">
        <v>1</v>
      </c>
      <c r="D26" s="88" t="s">
        <v>41</v>
      </c>
      <c r="E26" s="86" t="s">
        <v>42</v>
      </c>
      <c r="F26" s="86">
        <v>1.5</v>
      </c>
      <c r="G26" s="41">
        <f>F26*$E$7</f>
        <v>1.2000000000000002</v>
      </c>
      <c r="H26" s="86">
        <f>G26</f>
        <v>1.2000000000000002</v>
      </c>
      <c r="I26" s="89">
        <f>H26/$E$5</f>
        <v>1.60857908847185</v>
      </c>
      <c r="J26" s="56">
        <f>(F26*1000)/(1.732*$E$3)</f>
        <v>2.0868694176243081</v>
      </c>
      <c r="K26" s="57">
        <f>(G26*1000)/(1.732*$E$4)</f>
        <v>3.0123506376142188</v>
      </c>
    </row>
    <row r="27" spans="2:12">
      <c r="B27" s="196"/>
      <c r="C27" s="13"/>
      <c r="D27" s="88" t="s">
        <v>63</v>
      </c>
      <c r="E27" s="86"/>
      <c r="F27" s="86"/>
      <c r="G27" s="86"/>
      <c r="H27" s="86"/>
      <c r="I27" s="89"/>
      <c r="J27" s="90"/>
      <c r="K27" s="58"/>
    </row>
    <row r="28" spans="2:12">
      <c r="B28" s="220" t="s">
        <v>17</v>
      </c>
      <c r="C28" s="13">
        <v>2</v>
      </c>
      <c r="D28" s="88" t="s">
        <v>109</v>
      </c>
      <c r="E28" s="86" t="s">
        <v>110</v>
      </c>
      <c r="F28" s="86">
        <v>4</v>
      </c>
      <c r="G28" s="41">
        <f>F28*$E$7</f>
        <v>3.2</v>
      </c>
      <c r="H28" s="86">
        <f>G28</f>
        <v>3.2</v>
      </c>
      <c r="I28" s="89">
        <f>H28/$E$5</f>
        <v>4.2895442359249332</v>
      </c>
      <c r="J28" s="56">
        <f>(F28*1000)/(1.732*$E$3)</f>
        <v>5.5649851136648207</v>
      </c>
      <c r="K28" s="57">
        <f>(G28*1000)/(1.732*$E$4)</f>
        <v>8.0329350336379157</v>
      </c>
    </row>
    <row r="29" spans="2:12">
      <c r="B29" s="211"/>
      <c r="C29" s="13"/>
      <c r="D29" s="92" t="s">
        <v>111</v>
      </c>
      <c r="E29" s="86"/>
      <c r="F29" s="86"/>
      <c r="G29" s="86"/>
      <c r="H29" s="86"/>
      <c r="I29" s="91"/>
      <c r="J29" s="90"/>
      <c r="K29" s="58"/>
    </row>
    <row r="30" spans="2:12">
      <c r="B30" s="211"/>
      <c r="C30" s="13">
        <v>3</v>
      </c>
      <c r="D30" s="84" t="s">
        <v>112</v>
      </c>
      <c r="E30" s="86"/>
      <c r="F30" s="86">
        <v>0</v>
      </c>
      <c r="G30" s="41">
        <f>F30*$E$7</f>
        <v>0</v>
      </c>
      <c r="H30" s="86">
        <f>G30</f>
        <v>0</v>
      </c>
      <c r="I30" s="89">
        <f>H30/$E$5</f>
        <v>0</v>
      </c>
      <c r="J30" s="56">
        <f>(F30*1000)/(1.732*$E$3)</f>
        <v>0</v>
      </c>
      <c r="K30" s="57">
        <f>(G30*1000)/(1.732*$E$4)</f>
        <v>0</v>
      </c>
    </row>
    <row r="31" spans="2:12">
      <c r="B31" s="221"/>
      <c r="C31" s="13"/>
      <c r="D31" s="93" t="s">
        <v>113</v>
      </c>
      <c r="E31" s="86"/>
      <c r="F31" s="86"/>
      <c r="G31" s="86"/>
      <c r="H31" s="86"/>
      <c r="I31" s="91"/>
      <c r="J31" s="90"/>
      <c r="K31" s="58"/>
    </row>
    <row r="32" spans="2:12" ht="16.5" thickBot="1">
      <c r="B32" s="44"/>
      <c r="C32" s="197" t="s">
        <v>36</v>
      </c>
      <c r="D32" s="197"/>
      <c r="E32" s="197"/>
      <c r="F32" s="45"/>
      <c r="G32" s="46">
        <f>SUM(G26:G30)</f>
        <v>4.4000000000000004</v>
      </c>
      <c r="H32" s="46">
        <f>SUM(H26:H30)</f>
        <v>4.4000000000000004</v>
      </c>
      <c r="I32" s="46">
        <f>SUM(I26:I30)</f>
        <v>5.8981233243967832</v>
      </c>
      <c r="J32" s="47">
        <f>SUM(J26:J30)</f>
        <v>7.6518545312891284</v>
      </c>
      <c r="K32" s="58"/>
    </row>
    <row r="33" spans="2:11" ht="15.75">
      <c r="B33" s="205" t="s">
        <v>44</v>
      </c>
      <c r="C33" s="206"/>
      <c r="D33" s="206"/>
      <c r="E33" s="207"/>
      <c r="F33" s="48"/>
      <c r="G33" s="49">
        <f>G23+G32</f>
        <v>16</v>
      </c>
      <c r="H33" s="49">
        <f>H23+H32</f>
        <v>16</v>
      </c>
      <c r="I33" s="49">
        <f>I23+I32</f>
        <v>21.447721179624669</v>
      </c>
      <c r="J33" s="50">
        <f>K23+J32</f>
        <v>39.75185453128914</v>
      </c>
      <c r="K33" s="55"/>
    </row>
    <row r="34" spans="2:11" ht="16.5" thickBot="1">
      <c r="B34" s="201" t="s">
        <v>64</v>
      </c>
      <c r="C34" s="202"/>
      <c r="D34" s="202"/>
      <c r="E34" s="203"/>
      <c r="F34" s="51"/>
      <c r="G34" s="52">
        <f t="shared" ref="G34:I34" si="7">G33*$E$6</f>
        <v>20</v>
      </c>
      <c r="H34" s="52">
        <f t="shared" si="7"/>
        <v>20</v>
      </c>
      <c r="I34" s="52">
        <f t="shared" si="7"/>
        <v>26.809651474530835</v>
      </c>
      <c r="J34" s="52">
        <f>J33*$E$6</f>
        <v>49.689818164111429</v>
      </c>
      <c r="K34" s="55"/>
    </row>
    <row r="35" spans="2:11">
      <c r="I35" s="53"/>
      <c r="J35" s="53"/>
    </row>
    <row r="55" spans="11:11">
      <c r="K55" t="s">
        <v>65</v>
      </c>
    </row>
  </sheetData>
  <mergeCells count="10">
    <mergeCell ref="G1:J1"/>
    <mergeCell ref="B9:J9"/>
    <mergeCell ref="C32:E32"/>
    <mergeCell ref="B33:E33"/>
    <mergeCell ref="B34:E34"/>
    <mergeCell ref="B26:B27"/>
    <mergeCell ref="C23:E23"/>
    <mergeCell ref="B24:J24"/>
    <mergeCell ref="B11:B22"/>
    <mergeCell ref="B28:B31"/>
  </mergeCells>
  <dataValidations count="5">
    <dataValidation type="decimal" operator="equal" allowBlank="1" showInputMessage="1" showErrorMessage="1" sqref="J29 J27 J31">
      <formula1>(G27*1000)/(1.73*$E$3)</formula1>
    </dataValidation>
    <dataValidation type="whole" allowBlank="1" showDropDown="1" showInputMessage="1" showErrorMessage="1" sqref="I11:I22">
      <formula1>H11/$E$5</formula1>
      <formula2>H11/$E$5</formula2>
    </dataValidation>
    <dataValidation type="list" allowBlank="1" showDropDown="1" showInputMessage="1" showErrorMessage="1" promptTitle="Calculation " sqref="H11:H22">
      <formula1>G11</formula1>
    </dataValidation>
    <dataValidation type="decimal" operator="equal" allowBlank="1" showInputMessage="1" showErrorMessage="1" sqref="H26:H31">
      <formula1>G26</formula1>
    </dataValidation>
    <dataValidation type="decimal" operator="equal" allowBlank="1" showInputMessage="1" showErrorMessage="1" sqref="I26:I31">
      <formula1>H26/$E$5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0"/>
  <sheetViews>
    <sheetView topLeftCell="J16" zoomScale="115" zoomScaleNormal="115" workbookViewId="0">
      <selection activeCell="O46" sqref="O46"/>
    </sheetView>
  </sheetViews>
  <sheetFormatPr defaultColWidth="8.85546875" defaultRowHeight="14.25"/>
  <cols>
    <col min="1" max="1" width="7.140625" style="6" customWidth="1"/>
    <col min="2" max="4" width="20.7109375" style="6" customWidth="1"/>
    <col min="5" max="5" width="2.28515625" style="6" bestFit="1" customWidth="1"/>
    <col min="6" max="6" width="52.5703125" style="5" bestFit="1" customWidth="1"/>
    <col min="7" max="7" width="58.28515625" style="5" customWidth="1"/>
    <col min="8" max="8" width="32.28515625" style="5" customWidth="1"/>
    <col min="9" max="9" width="22.85546875" style="5" customWidth="1"/>
    <col min="10" max="10" width="12.5703125" style="6" bestFit="1" customWidth="1"/>
    <col min="11" max="12" width="23.28515625" style="6" customWidth="1"/>
    <col min="13" max="13" width="16.28515625" style="6" bestFit="1" customWidth="1"/>
    <col min="14" max="14" width="51.7109375" style="7" bestFit="1" customWidth="1"/>
    <col min="15" max="15" width="59.5703125" style="7" bestFit="1" customWidth="1"/>
    <col min="16" max="16" width="26.140625" style="7" customWidth="1"/>
    <col min="17" max="17" width="14.7109375" style="8" customWidth="1"/>
    <col min="18" max="16384" width="8.85546875" style="5"/>
  </cols>
  <sheetData>
    <row r="1" spans="1:17" s="3" customFormat="1" ht="16.5" thickBot="1">
      <c r="A1" s="1"/>
      <c r="B1" s="1"/>
      <c r="C1" s="1"/>
      <c r="D1" s="2"/>
      <c r="E1" s="2"/>
      <c r="J1" s="2"/>
      <c r="K1" s="2"/>
      <c r="L1" s="2"/>
      <c r="M1" s="2"/>
      <c r="N1" s="1"/>
      <c r="O1" s="1"/>
      <c r="P1" s="1"/>
      <c r="Q1" s="4"/>
    </row>
    <row r="2" spans="1:17" s="3" customFormat="1" ht="16.5" thickBot="1">
      <c r="A2" s="222"/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</row>
    <row r="3" spans="1:17" ht="15.75" thickBot="1">
      <c r="A3" s="224"/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</row>
    <row r="4" spans="1:17" ht="15.75" thickBot="1">
      <c r="A4" s="226" t="s">
        <v>114</v>
      </c>
      <c r="B4" s="227"/>
      <c r="C4" s="227"/>
      <c r="D4" s="227"/>
      <c r="E4" s="227"/>
      <c r="F4" s="227"/>
      <c r="G4" s="227"/>
      <c r="H4" s="227"/>
      <c r="I4" s="227"/>
      <c r="J4" s="227" t="s">
        <v>115</v>
      </c>
      <c r="K4" s="227"/>
      <c r="L4" s="227"/>
      <c r="M4" s="227"/>
      <c r="N4" s="227"/>
      <c r="O4" s="227"/>
      <c r="P4" s="227"/>
      <c r="Q4" s="227"/>
    </row>
    <row r="5" spans="1:17" ht="16.5" thickBot="1">
      <c r="A5" s="126" t="s">
        <v>116</v>
      </c>
      <c r="B5" s="127" t="s">
        <v>117</v>
      </c>
      <c r="C5" s="127" t="s">
        <v>118</v>
      </c>
      <c r="D5" s="128" t="s">
        <v>119</v>
      </c>
      <c r="E5" s="128"/>
      <c r="F5" s="129" t="s">
        <v>120</v>
      </c>
      <c r="G5" s="129" t="s">
        <v>121</v>
      </c>
      <c r="H5" s="129" t="s">
        <v>17</v>
      </c>
      <c r="I5" s="129" t="s">
        <v>122</v>
      </c>
      <c r="J5" s="127" t="s">
        <v>116</v>
      </c>
      <c r="K5" s="127" t="s">
        <v>123</v>
      </c>
      <c r="L5" s="127" t="s">
        <v>118</v>
      </c>
      <c r="M5" s="128" t="s">
        <v>119</v>
      </c>
      <c r="N5" s="130" t="s">
        <v>124</v>
      </c>
      <c r="O5" s="129" t="s">
        <v>125</v>
      </c>
      <c r="P5" s="129" t="s">
        <v>17</v>
      </c>
      <c r="Q5" s="129" t="s">
        <v>122</v>
      </c>
    </row>
    <row r="6" spans="1:17" ht="15.75">
      <c r="A6" s="116"/>
      <c r="B6" s="131"/>
      <c r="C6" s="131"/>
      <c r="D6" s="131"/>
      <c r="E6" s="131"/>
      <c r="F6" s="132" t="s">
        <v>126</v>
      </c>
      <c r="G6" s="132" t="s">
        <v>121</v>
      </c>
      <c r="H6" s="132"/>
      <c r="I6" s="132"/>
      <c r="J6" s="133"/>
      <c r="K6" s="133"/>
      <c r="L6" s="133"/>
      <c r="M6" s="134"/>
      <c r="N6" s="134" t="s">
        <v>127</v>
      </c>
      <c r="O6" s="134"/>
      <c r="P6" s="132"/>
      <c r="Q6" s="148"/>
    </row>
    <row r="7" spans="1:17" ht="15.75">
      <c r="A7" s="117">
        <v>1</v>
      </c>
      <c r="B7" s="144" t="s">
        <v>128</v>
      </c>
      <c r="C7" s="144"/>
      <c r="D7" s="144" t="s">
        <v>129</v>
      </c>
      <c r="E7" s="144" t="s">
        <v>130</v>
      </c>
      <c r="F7" s="180" t="s">
        <v>131</v>
      </c>
      <c r="G7" s="181" t="str">
        <f t="shared" ref="G7:G62" si="0">CONCATENATE(B7,E7,F7)</f>
        <v>SDI01_Chopper-1 E-Stop 1/1</v>
      </c>
      <c r="H7" s="181" t="s">
        <v>132</v>
      </c>
      <c r="I7" s="181"/>
      <c r="J7" s="144">
        <v>1</v>
      </c>
      <c r="K7" s="144" t="s">
        <v>133</v>
      </c>
      <c r="L7" s="144"/>
      <c r="M7" s="144" t="s">
        <v>134</v>
      </c>
      <c r="N7" s="180" t="s">
        <v>135</v>
      </c>
      <c r="O7" s="181" t="str">
        <f t="shared" ref="O7:O46" si="1" xml:space="preserve"> CONCATENATE(K7,E7,N7)</f>
        <v>SDO01_Chopper Safety Healhy 1/1</v>
      </c>
      <c r="P7" s="181" t="s">
        <v>136</v>
      </c>
      <c r="Q7" s="182"/>
    </row>
    <row r="8" spans="1:17" ht="15.75">
      <c r="A8" s="117">
        <v>2</v>
      </c>
      <c r="B8" s="144" t="s">
        <v>137</v>
      </c>
      <c r="C8" s="144"/>
      <c r="D8" s="144" t="s">
        <v>138</v>
      </c>
      <c r="E8" s="144" t="s">
        <v>130</v>
      </c>
      <c r="F8" s="180" t="s">
        <v>139</v>
      </c>
      <c r="G8" s="181" t="str">
        <f t="shared" si="0"/>
        <v>SDI02_Chopper-1 E-Stop 1/2</v>
      </c>
      <c r="H8" s="181" t="s">
        <v>132</v>
      </c>
      <c r="I8" s="181"/>
      <c r="J8" s="144">
        <v>2</v>
      </c>
      <c r="K8" s="144" t="s">
        <v>140</v>
      </c>
      <c r="L8" s="144"/>
      <c r="M8" s="144" t="s">
        <v>141</v>
      </c>
      <c r="N8" s="180" t="s">
        <v>142</v>
      </c>
      <c r="O8" s="181" t="str">
        <f t="shared" si="1"/>
        <v>SDO02_Chopper Safety Healhy 1/2</v>
      </c>
      <c r="P8" s="181" t="s">
        <v>136</v>
      </c>
      <c r="Q8" s="182"/>
    </row>
    <row r="9" spans="1:17" ht="15.75">
      <c r="A9" s="117">
        <v>3</v>
      </c>
      <c r="B9" s="144" t="s">
        <v>143</v>
      </c>
      <c r="C9" s="144"/>
      <c r="D9" s="144" t="s">
        <v>144</v>
      </c>
      <c r="E9" s="144" t="s">
        <v>130</v>
      </c>
      <c r="F9" s="180" t="s">
        <v>145</v>
      </c>
      <c r="G9" s="181" t="str">
        <f t="shared" si="0"/>
        <v>SDI03_Chopper-2 E-Stop 1/1</v>
      </c>
      <c r="H9" s="181" t="s">
        <v>132</v>
      </c>
      <c r="I9" s="181"/>
      <c r="J9" s="144">
        <v>3</v>
      </c>
      <c r="K9" s="144" t="s">
        <v>146</v>
      </c>
      <c r="L9" s="144"/>
      <c r="M9" s="144" t="s">
        <v>147</v>
      </c>
      <c r="N9" s="181" t="s">
        <v>148</v>
      </c>
      <c r="O9" s="181" t="str">
        <f t="shared" si="1"/>
        <v xml:space="preserve">SDO03_Spare </v>
      </c>
      <c r="P9" s="181"/>
      <c r="Q9" s="182"/>
    </row>
    <row r="10" spans="1:17" ht="15.75">
      <c r="A10" s="117">
        <v>4</v>
      </c>
      <c r="B10" s="144" t="s">
        <v>149</v>
      </c>
      <c r="C10" s="144"/>
      <c r="D10" s="144" t="s">
        <v>150</v>
      </c>
      <c r="E10" s="144" t="s">
        <v>130</v>
      </c>
      <c r="F10" s="180" t="s">
        <v>151</v>
      </c>
      <c r="G10" s="181" t="str">
        <f t="shared" si="0"/>
        <v>SDI04_Chopper-2 E-Stop 1/2</v>
      </c>
      <c r="H10" s="181" t="s">
        <v>132</v>
      </c>
      <c r="I10" s="181"/>
      <c r="J10" s="144">
        <v>4</v>
      </c>
      <c r="K10" s="144" t="s">
        <v>152</v>
      </c>
      <c r="L10" s="144"/>
      <c r="M10" s="144" t="s">
        <v>153</v>
      </c>
      <c r="N10" s="181" t="s">
        <v>148</v>
      </c>
      <c r="O10" s="181" t="str">
        <f t="shared" si="1"/>
        <v xml:space="preserve">SDO04_Spare </v>
      </c>
      <c r="P10" s="181"/>
      <c r="Q10" s="182"/>
    </row>
    <row r="11" spans="1:17" ht="15.75">
      <c r="A11" s="117">
        <v>5</v>
      </c>
      <c r="B11" s="144" t="s">
        <v>154</v>
      </c>
      <c r="C11" s="144"/>
      <c r="D11" s="144" t="s">
        <v>155</v>
      </c>
      <c r="E11" s="144" t="s">
        <v>130</v>
      </c>
      <c r="F11" s="180" t="s">
        <v>156</v>
      </c>
      <c r="G11" s="181" t="str">
        <f t="shared" si="0"/>
        <v>SDI05_Spreader E-Stop 1/1</v>
      </c>
      <c r="H11" s="181" t="s">
        <v>132</v>
      </c>
      <c r="I11" s="181"/>
      <c r="J11" s="144">
        <v>5</v>
      </c>
      <c r="K11" s="144" t="s">
        <v>157</v>
      </c>
      <c r="L11" s="144"/>
      <c r="M11" s="144" t="s">
        <v>158</v>
      </c>
      <c r="N11" s="181" t="s">
        <v>148</v>
      </c>
      <c r="O11" s="181" t="str">
        <f t="shared" si="1"/>
        <v xml:space="preserve">SDO05_Spare </v>
      </c>
      <c r="P11" s="181"/>
      <c r="Q11" s="182"/>
    </row>
    <row r="12" spans="1:17" ht="15.75">
      <c r="A12" s="117">
        <v>6</v>
      </c>
      <c r="B12" s="144" t="s">
        <v>159</v>
      </c>
      <c r="C12" s="144"/>
      <c r="D12" s="144" t="s">
        <v>160</v>
      </c>
      <c r="E12" s="144" t="s">
        <v>130</v>
      </c>
      <c r="F12" s="180" t="s">
        <v>161</v>
      </c>
      <c r="G12" s="181" t="str">
        <f t="shared" si="0"/>
        <v>SDI06_Spreader  E-Stop 1/2</v>
      </c>
      <c r="H12" s="181" t="s">
        <v>132</v>
      </c>
      <c r="I12" s="181"/>
      <c r="J12" s="144">
        <v>6</v>
      </c>
      <c r="K12" s="144" t="s">
        <v>162</v>
      </c>
      <c r="L12" s="144"/>
      <c r="M12" s="144" t="s">
        <v>163</v>
      </c>
      <c r="N12" s="181" t="s">
        <v>148</v>
      </c>
      <c r="O12" s="181" t="str">
        <f t="shared" si="1"/>
        <v xml:space="preserve">SDO06_Spare </v>
      </c>
      <c r="P12" s="181"/>
      <c r="Q12" s="182"/>
    </row>
    <row r="13" spans="1:17" ht="15.75">
      <c r="A13" s="117">
        <v>7</v>
      </c>
      <c r="B13" s="144" t="s">
        <v>164</v>
      </c>
      <c r="C13" s="144"/>
      <c r="D13" s="144" t="s">
        <v>165</v>
      </c>
      <c r="E13" s="144" t="s">
        <v>130</v>
      </c>
      <c r="F13" s="180" t="s">
        <v>166</v>
      </c>
      <c r="G13" s="181" t="str">
        <f t="shared" si="0"/>
        <v>SDI07_Applicator E-Stop 1/1</v>
      </c>
      <c r="H13" s="181" t="s">
        <v>132</v>
      </c>
      <c r="I13" s="181"/>
      <c r="J13" s="144">
        <v>7</v>
      </c>
      <c r="K13" s="144" t="s">
        <v>167</v>
      </c>
      <c r="L13" s="144"/>
      <c r="M13" s="144" t="s">
        <v>168</v>
      </c>
      <c r="N13" s="180" t="s">
        <v>169</v>
      </c>
      <c r="O13" s="181" t="str">
        <f t="shared" si="1"/>
        <v>SDO07_Air Relief Valve1/1</v>
      </c>
      <c r="P13" s="181"/>
      <c r="Q13" s="182"/>
    </row>
    <row r="14" spans="1:17" ht="15.75">
      <c r="A14" s="117">
        <v>8</v>
      </c>
      <c r="B14" s="144" t="s">
        <v>170</v>
      </c>
      <c r="C14" s="144"/>
      <c r="D14" s="144" t="s">
        <v>171</v>
      </c>
      <c r="E14" s="144" t="s">
        <v>130</v>
      </c>
      <c r="F14" s="180" t="s">
        <v>172</v>
      </c>
      <c r="G14" s="181" t="str">
        <f t="shared" si="0"/>
        <v>SDI08_Applicator E-Stop 1/2</v>
      </c>
      <c r="H14" s="181" t="s">
        <v>132</v>
      </c>
      <c r="I14" s="181"/>
      <c r="J14" s="144">
        <v>8</v>
      </c>
      <c r="K14" s="144" t="s">
        <v>173</v>
      </c>
      <c r="L14" s="144"/>
      <c r="M14" s="144" t="s">
        <v>174</v>
      </c>
      <c r="N14" s="180" t="s">
        <v>175</v>
      </c>
      <c r="O14" s="181" t="str">
        <f t="shared" si="1"/>
        <v>SDO08_Air Relief Valve1/2</v>
      </c>
      <c r="P14" s="181"/>
      <c r="Q14" s="182"/>
    </row>
    <row r="15" spans="1:17" ht="15.75">
      <c r="A15" s="63">
        <v>1</v>
      </c>
      <c r="B15" s="64" t="s">
        <v>176</v>
      </c>
      <c r="C15" s="64"/>
      <c r="D15" s="64" t="s">
        <v>177</v>
      </c>
      <c r="E15" s="64" t="s">
        <v>130</v>
      </c>
      <c r="F15" s="31" t="s">
        <v>178</v>
      </c>
      <c r="G15" s="65" t="str">
        <f t="shared" si="0"/>
        <v>DI01_System Start PB</v>
      </c>
      <c r="H15" s="65" t="s">
        <v>179</v>
      </c>
      <c r="I15" s="65"/>
      <c r="J15" s="64">
        <v>1</v>
      </c>
      <c r="K15" s="64" t="s">
        <v>180</v>
      </c>
      <c r="L15" s="64"/>
      <c r="M15" s="64" t="s">
        <v>181</v>
      </c>
      <c r="N15" s="65" t="s">
        <v>182</v>
      </c>
      <c r="O15" s="65" t="str">
        <f t="shared" si="1"/>
        <v xml:space="preserve">DO01_Chopper Tower Lamp Red </v>
      </c>
      <c r="P15" s="65" t="s">
        <v>183</v>
      </c>
      <c r="Q15" s="149"/>
    </row>
    <row r="16" spans="1:17" ht="15.75">
      <c r="A16" s="63">
        <v>2</v>
      </c>
      <c r="B16" s="64" t="s">
        <v>184</v>
      </c>
      <c r="C16" s="64"/>
      <c r="D16" s="64" t="s">
        <v>185</v>
      </c>
      <c r="E16" s="64" t="s">
        <v>130</v>
      </c>
      <c r="F16" s="31" t="s">
        <v>186</v>
      </c>
      <c r="G16" s="65" t="str">
        <f t="shared" si="0"/>
        <v>DI02_System Stop PB</v>
      </c>
      <c r="H16" s="65" t="s">
        <v>187</v>
      </c>
      <c r="I16" s="65"/>
      <c r="J16" s="64">
        <v>2</v>
      </c>
      <c r="K16" s="64" t="s">
        <v>188</v>
      </c>
      <c r="L16" s="64"/>
      <c r="M16" s="64" t="s">
        <v>189</v>
      </c>
      <c r="N16" s="65" t="s">
        <v>190</v>
      </c>
      <c r="O16" s="65" t="str">
        <f t="shared" si="1"/>
        <v>DO02_Chopper Tower Lamp Amber</v>
      </c>
      <c r="P16" s="65" t="s">
        <v>183</v>
      </c>
      <c r="Q16" s="149"/>
    </row>
    <row r="17" spans="1:17" ht="15.75">
      <c r="A17" s="63">
        <v>3</v>
      </c>
      <c r="B17" s="64" t="s">
        <v>191</v>
      </c>
      <c r="C17" s="64"/>
      <c r="D17" s="64" t="s">
        <v>192</v>
      </c>
      <c r="E17" s="64" t="s">
        <v>130</v>
      </c>
      <c r="F17" s="31" t="s">
        <v>193</v>
      </c>
      <c r="G17" s="65" t="str">
        <f t="shared" si="0"/>
        <v>DI03_System Reset PB</v>
      </c>
      <c r="H17" s="65" t="s">
        <v>179</v>
      </c>
      <c r="I17" s="65"/>
      <c r="J17" s="64">
        <v>3</v>
      </c>
      <c r="K17" s="64" t="s">
        <v>194</v>
      </c>
      <c r="L17" s="64"/>
      <c r="M17" s="64" t="s">
        <v>195</v>
      </c>
      <c r="N17" s="65" t="s">
        <v>196</v>
      </c>
      <c r="O17" s="65" t="str">
        <f t="shared" si="1"/>
        <v>DO03_Chopper Tower Lamp Green</v>
      </c>
      <c r="P17" s="65" t="s">
        <v>183</v>
      </c>
      <c r="Q17" s="149"/>
    </row>
    <row r="18" spans="1:17" ht="15.75">
      <c r="A18" s="63">
        <v>4</v>
      </c>
      <c r="B18" s="64" t="s">
        <v>197</v>
      </c>
      <c r="C18" s="64"/>
      <c r="D18" s="64" t="s">
        <v>198</v>
      </c>
      <c r="E18" s="64" t="s">
        <v>130</v>
      </c>
      <c r="F18" s="31" t="s">
        <v>199</v>
      </c>
      <c r="G18" s="65" t="str">
        <f t="shared" si="0"/>
        <v>DI04_Safety Reset PB</v>
      </c>
      <c r="H18" s="65" t="s">
        <v>179</v>
      </c>
      <c r="I18" s="65"/>
      <c r="J18" s="64">
        <v>4</v>
      </c>
      <c r="K18" s="64" t="s">
        <v>200</v>
      </c>
      <c r="L18" s="64"/>
      <c r="M18" s="64" t="s">
        <v>201</v>
      </c>
      <c r="N18" s="65" t="s">
        <v>202</v>
      </c>
      <c r="O18" s="65" t="str">
        <f t="shared" si="1"/>
        <v>DO04_Chopper Tower Lamp Buzzer</v>
      </c>
      <c r="P18" s="65" t="s">
        <v>183</v>
      </c>
      <c r="Q18" s="149"/>
    </row>
    <row r="19" spans="1:17" ht="15.75">
      <c r="A19" s="63">
        <v>5</v>
      </c>
      <c r="B19" s="64" t="s">
        <v>203</v>
      </c>
      <c r="C19" s="64"/>
      <c r="D19" s="64" t="s">
        <v>204</v>
      </c>
      <c r="E19" s="64" t="s">
        <v>130</v>
      </c>
      <c r="F19" s="31" t="s">
        <v>205</v>
      </c>
      <c r="G19" s="65" t="str">
        <f t="shared" si="0"/>
        <v>DI05_Spare DI</v>
      </c>
      <c r="H19" s="65"/>
      <c r="I19" s="65"/>
      <c r="J19" s="64">
        <v>5</v>
      </c>
      <c r="K19" s="64" t="s">
        <v>206</v>
      </c>
      <c r="L19" s="64"/>
      <c r="M19" s="64" t="s">
        <v>207</v>
      </c>
      <c r="N19" s="65" t="s">
        <v>208</v>
      </c>
      <c r="O19" s="65" t="str">
        <f t="shared" si="1"/>
        <v>DO05_Chopper System Start PB Green Lamp</v>
      </c>
      <c r="P19" s="65" t="s">
        <v>179</v>
      </c>
      <c r="Q19" s="149"/>
    </row>
    <row r="20" spans="1:17" ht="15.75">
      <c r="A20" s="63">
        <v>6</v>
      </c>
      <c r="B20" s="64" t="s">
        <v>209</v>
      </c>
      <c r="C20" s="64"/>
      <c r="D20" s="64" t="s">
        <v>210</v>
      </c>
      <c r="E20" s="64" t="s">
        <v>130</v>
      </c>
      <c r="F20" s="31" t="s">
        <v>205</v>
      </c>
      <c r="G20" s="65" t="str">
        <f t="shared" si="0"/>
        <v>DI06_Spare DI</v>
      </c>
      <c r="H20" s="109"/>
      <c r="I20" s="65"/>
      <c r="J20" s="64">
        <v>6</v>
      </c>
      <c r="K20" s="64" t="s">
        <v>211</v>
      </c>
      <c r="L20" s="64"/>
      <c r="M20" s="64" t="s">
        <v>212</v>
      </c>
      <c r="N20" s="65" t="s">
        <v>213</v>
      </c>
      <c r="O20" s="65" t="str">
        <f t="shared" si="1"/>
        <v>DO06_Chopper System Reset PB Blue Lamp</v>
      </c>
      <c r="P20" s="65" t="s">
        <v>179</v>
      </c>
      <c r="Q20" s="149"/>
    </row>
    <row r="21" spans="1:17" ht="15.75">
      <c r="A21" s="63">
        <v>7</v>
      </c>
      <c r="B21" s="64" t="s">
        <v>214</v>
      </c>
      <c r="C21" s="64"/>
      <c r="D21" s="64" t="s">
        <v>215</v>
      </c>
      <c r="E21" s="64" t="s">
        <v>130</v>
      </c>
      <c r="F21" s="31" t="s">
        <v>216</v>
      </c>
      <c r="G21" s="65" t="str">
        <f t="shared" si="0"/>
        <v>DI07_3 Phase Supply Ok</v>
      </c>
      <c r="H21" s="65" t="s">
        <v>217</v>
      </c>
      <c r="I21" s="65"/>
      <c r="J21" s="64">
        <v>7</v>
      </c>
      <c r="K21" s="64" t="s">
        <v>218</v>
      </c>
      <c r="L21" s="64"/>
      <c r="M21" s="64" t="s">
        <v>219</v>
      </c>
      <c r="N21" s="65" t="s">
        <v>220</v>
      </c>
      <c r="O21" s="65" t="str">
        <f t="shared" si="1"/>
        <v>DO07_Chopper System Safety Reset PB Yellow Lamp</v>
      </c>
      <c r="P21" s="65" t="s">
        <v>179</v>
      </c>
      <c r="Q21" s="149"/>
    </row>
    <row r="22" spans="1:17" ht="15.75">
      <c r="A22" s="63">
        <v>8</v>
      </c>
      <c r="B22" s="64" t="s">
        <v>221</v>
      </c>
      <c r="C22" s="64"/>
      <c r="D22" s="64" t="s">
        <v>222</v>
      </c>
      <c r="E22" s="64" t="s">
        <v>130</v>
      </c>
      <c r="F22" s="31" t="s">
        <v>223</v>
      </c>
      <c r="G22" s="65" t="str">
        <f t="shared" si="0"/>
        <v>DI08_Chopper Air Pressure  Switch</v>
      </c>
      <c r="H22" s="65" t="s">
        <v>224</v>
      </c>
      <c r="I22" s="65"/>
      <c r="J22" s="64">
        <v>8</v>
      </c>
      <c r="K22" s="64" t="s">
        <v>225</v>
      </c>
      <c r="L22" s="64"/>
      <c r="M22" s="64" t="s">
        <v>226</v>
      </c>
      <c r="N22" s="65" t="s">
        <v>227</v>
      </c>
      <c r="O22" s="65" t="str">
        <f t="shared" si="1"/>
        <v>DO08_Spare DO</v>
      </c>
      <c r="P22" s="65"/>
      <c r="Q22" s="149"/>
    </row>
    <row r="23" spans="1:17" ht="15.75">
      <c r="A23" s="63">
        <v>9</v>
      </c>
      <c r="B23" s="64" t="s">
        <v>228</v>
      </c>
      <c r="C23" s="64"/>
      <c r="D23" s="64" t="s">
        <v>229</v>
      </c>
      <c r="E23" s="64" t="s">
        <v>130</v>
      </c>
      <c r="F23" s="31" t="s">
        <v>230</v>
      </c>
      <c r="G23" s="65" t="str">
        <f t="shared" si="0"/>
        <v>DI09_Chopper-1 Local/Remote SS</v>
      </c>
      <c r="H23" s="65" t="s">
        <v>231</v>
      </c>
      <c r="I23" s="65"/>
      <c r="J23" s="64">
        <v>9</v>
      </c>
      <c r="K23" s="64" t="s">
        <v>232</v>
      </c>
      <c r="L23" s="64"/>
      <c r="M23" s="64" t="s">
        <v>233</v>
      </c>
      <c r="N23" s="31" t="s">
        <v>234</v>
      </c>
      <c r="O23" s="65" t="str">
        <f t="shared" si="1"/>
        <v>DO09_Chopper-1 Start PB Lamp</v>
      </c>
      <c r="P23" s="65"/>
      <c r="Q23" s="149"/>
    </row>
    <row r="24" spans="1:17" ht="15.75">
      <c r="A24" s="63">
        <v>10</v>
      </c>
      <c r="B24" s="64" t="s">
        <v>235</v>
      </c>
      <c r="C24" s="64"/>
      <c r="D24" s="64" t="s">
        <v>236</v>
      </c>
      <c r="E24" s="64" t="s">
        <v>130</v>
      </c>
      <c r="F24" s="31" t="s">
        <v>237</v>
      </c>
      <c r="G24" s="65" t="str">
        <f t="shared" si="0"/>
        <v>DI10_Chopper-1 Start PB</v>
      </c>
      <c r="H24" s="65" t="s">
        <v>179</v>
      </c>
      <c r="I24" s="65"/>
      <c r="J24" s="64">
        <v>10</v>
      </c>
      <c r="K24" s="64" t="s">
        <v>238</v>
      </c>
      <c r="L24" s="64"/>
      <c r="M24" s="64" t="s">
        <v>239</v>
      </c>
      <c r="N24" s="31" t="s">
        <v>240</v>
      </c>
      <c r="O24" s="65" t="str">
        <f t="shared" si="1"/>
        <v>DO10_Chopper-1 PU Cylinder-1 Fwd SOV</v>
      </c>
      <c r="P24" s="65"/>
      <c r="Q24" s="149"/>
    </row>
    <row r="25" spans="1:17" ht="15.75">
      <c r="A25" s="63">
        <v>11</v>
      </c>
      <c r="B25" s="64" t="s">
        <v>241</v>
      </c>
      <c r="C25" s="64"/>
      <c r="D25" s="64" t="s">
        <v>242</v>
      </c>
      <c r="E25" s="64" t="s">
        <v>130</v>
      </c>
      <c r="F25" s="31" t="s">
        <v>243</v>
      </c>
      <c r="G25" s="65" t="str">
        <f t="shared" si="0"/>
        <v>DI11_Chopper-1 Stop PB</v>
      </c>
      <c r="H25" s="65" t="s">
        <v>187</v>
      </c>
      <c r="I25" s="65"/>
      <c r="J25" s="64">
        <v>11</v>
      </c>
      <c r="K25" s="64" t="s">
        <v>244</v>
      </c>
      <c r="L25" s="64"/>
      <c r="M25" s="64" t="s">
        <v>245</v>
      </c>
      <c r="N25" s="31" t="s">
        <v>246</v>
      </c>
      <c r="O25" s="65" t="str">
        <f t="shared" si="1"/>
        <v>DO11_Chopper-1 PU Cylinder-1 Rev SOV</v>
      </c>
      <c r="P25" s="65"/>
      <c r="Q25" s="149"/>
    </row>
    <row r="26" spans="1:17" ht="15.75">
      <c r="A26" s="63">
        <v>12</v>
      </c>
      <c r="B26" s="64" t="s">
        <v>247</v>
      </c>
      <c r="C26" s="64"/>
      <c r="D26" s="64" t="s">
        <v>248</v>
      </c>
      <c r="E26" s="64" t="s">
        <v>130</v>
      </c>
      <c r="F26" s="31" t="s">
        <v>205</v>
      </c>
      <c r="G26" s="65" t="str">
        <f t="shared" si="0"/>
        <v>DI12_Spare DI</v>
      </c>
      <c r="H26" s="65"/>
      <c r="I26" s="65"/>
      <c r="J26" s="64">
        <v>12</v>
      </c>
      <c r="K26" s="64" t="s">
        <v>249</v>
      </c>
      <c r="L26" s="64"/>
      <c r="M26" s="64" t="s">
        <v>250</v>
      </c>
      <c r="N26" s="31" t="s">
        <v>251</v>
      </c>
      <c r="O26" s="65" t="str">
        <f t="shared" si="1"/>
        <v>DO12_Chopper-1 PU Cylinder-2 Fwd SOV</v>
      </c>
      <c r="P26" s="65"/>
      <c r="Q26" s="149"/>
    </row>
    <row r="27" spans="1:17" ht="15.75">
      <c r="A27" s="63">
        <v>13</v>
      </c>
      <c r="B27" s="64" t="s">
        <v>252</v>
      </c>
      <c r="C27" s="64"/>
      <c r="D27" s="64" t="s">
        <v>253</v>
      </c>
      <c r="E27" s="64" t="s">
        <v>130</v>
      </c>
      <c r="F27" s="31" t="s">
        <v>254</v>
      </c>
      <c r="G27" s="65" t="str">
        <f t="shared" si="0"/>
        <v>DI13_Chopper-2 Local/Remote SS</v>
      </c>
      <c r="H27" s="65" t="s">
        <v>231</v>
      </c>
      <c r="I27" s="65"/>
      <c r="J27" s="64">
        <v>13</v>
      </c>
      <c r="K27" s="64" t="s">
        <v>255</v>
      </c>
      <c r="L27" s="64"/>
      <c r="M27" s="64" t="s">
        <v>256</v>
      </c>
      <c r="N27" s="31" t="s">
        <v>257</v>
      </c>
      <c r="O27" s="65" t="str">
        <f t="shared" si="1"/>
        <v>DO13_Chopper-1 PU Cylinder-2 Rev SOV</v>
      </c>
      <c r="P27" s="65"/>
      <c r="Q27" s="149"/>
    </row>
    <row r="28" spans="1:17" ht="15.75">
      <c r="A28" s="63">
        <v>14</v>
      </c>
      <c r="B28" s="64" t="s">
        <v>258</v>
      </c>
      <c r="C28" s="64"/>
      <c r="D28" s="64" t="s">
        <v>259</v>
      </c>
      <c r="E28" s="64" t="s">
        <v>130</v>
      </c>
      <c r="F28" s="31" t="s">
        <v>260</v>
      </c>
      <c r="G28" s="65" t="str">
        <f t="shared" si="0"/>
        <v>DI14_Chopper-2 Start PB</v>
      </c>
      <c r="H28" s="65" t="s">
        <v>179</v>
      </c>
      <c r="I28" s="65"/>
      <c r="J28" s="64">
        <v>14</v>
      </c>
      <c r="K28" s="64" t="s">
        <v>261</v>
      </c>
      <c r="L28" s="64"/>
      <c r="M28" s="64" t="s">
        <v>262</v>
      </c>
      <c r="N28" s="31" t="s">
        <v>263</v>
      </c>
      <c r="O28" s="65" t="str">
        <f t="shared" si="1"/>
        <v>DO14_Chopper-1 Pressure Roller Cylinder Fwd SOV</v>
      </c>
      <c r="P28" s="65"/>
      <c r="Q28" s="149"/>
    </row>
    <row r="29" spans="1:17" ht="15.75">
      <c r="A29" s="63">
        <v>15</v>
      </c>
      <c r="B29" s="64" t="s">
        <v>264</v>
      </c>
      <c r="C29" s="64"/>
      <c r="D29" s="64" t="s">
        <v>265</v>
      </c>
      <c r="E29" s="64" t="s">
        <v>130</v>
      </c>
      <c r="F29" s="31" t="s">
        <v>266</v>
      </c>
      <c r="G29" s="65" t="str">
        <f t="shared" si="0"/>
        <v>DI15_Chopper-2 Stop PB</v>
      </c>
      <c r="H29" s="65" t="s">
        <v>187</v>
      </c>
      <c r="I29" s="65"/>
      <c r="J29" s="64">
        <v>15</v>
      </c>
      <c r="K29" s="64" t="s">
        <v>267</v>
      </c>
      <c r="L29" s="64"/>
      <c r="M29" s="64" t="s">
        <v>268</v>
      </c>
      <c r="N29" s="31" t="s">
        <v>269</v>
      </c>
      <c r="O29" s="65" t="str">
        <f t="shared" si="1"/>
        <v>DO15_Chopper-1 Pressure Roller Cylinder Rev SOV</v>
      </c>
      <c r="P29" s="65"/>
      <c r="Q29" s="149"/>
    </row>
    <row r="30" spans="1:17" ht="15.75">
      <c r="A30" s="63">
        <v>16</v>
      </c>
      <c r="B30" s="64" t="s">
        <v>270</v>
      </c>
      <c r="C30" s="64"/>
      <c r="D30" s="64" t="s">
        <v>271</v>
      </c>
      <c r="E30" s="64" t="s">
        <v>130</v>
      </c>
      <c r="F30" s="31" t="s">
        <v>205</v>
      </c>
      <c r="G30" s="65" t="str">
        <f t="shared" si="0"/>
        <v>DI16_Spare DI</v>
      </c>
      <c r="H30" s="65"/>
      <c r="I30" s="65"/>
      <c r="J30" s="64">
        <v>16</v>
      </c>
      <c r="K30" s="64" t="s">
        <v>272</v>
      </c>
      <c r="L30" s="64"/>
      <c r="M30" s="64" t="s">
        <v>273</v>
      </c>
      <c r="N30" s="65" t="s">
        <v>227</v>
      </c>
      <c r="O30" s="65" t="str">
        <f t="shared" si="1"/>
        <v>DO16_Spare DO</v>
      </c>
      <c r="P30" s="65"/>
      <c r="Q30" s="149"/>
    </row>
    <row r="31" spans="1:17" ht="15.75">
      <c r="A31" s="63">
        <v>17</v>
      </c>
      <c r="B31" s="64" t="s">
        <v>274</v>
      </c>
      <c r="C31" s="64"/>
      <c r="D31" s="64" t="s">
        <v>275</v>
      </c>
      <c r="E31" s="64" t="s">
        <v>130</v>
      </c>
      <c r="F31" s="31" t="s">
        <v>276</v>
      </c>
      <c r="G31" s="65" t="str">
        <f t="shared" si="0"/>
        <v>DI17_Chopper-1 PU Cylinder-1 Fwd FB</v>
      </c>
      <c r="H31" s="65" t="s">
        <v>277</v>
      </c>
      <c r="I31" s="65"/>
      <c r="J31" s="64">
        <v>17</v>
      </c>
      <c r="K31" s="64" t="s">
        <v>278</v>
      </c>
      <c r="L31" s="64"/>
      <c r="M31" s="64" t="s">
        <v>279</v>
      </c>
      <c r="N31" s="31" t="s">
        <v>280</v>
      </c>
      <c r="O31" s="65" t="str">
        <f t="shared" si="1"/>
        <v>DO17_Chopper-2 Start PB Lamp</v>
      </c>
      <c r="P31" s="65"/>
      <c r="Q31" s="149"/>
    </row>
    <row r="32" spans="1:17" ht="15.75">
      <c r="A32" s="63">
        <v>18</v>
      </c>
      <c r="B32" s="64" t="s">
        <v>281</v>
      </c>
      <c r="C32" s="64"/>
      <c r="D32" s="64" t="s">
        <v>282</v>
      </c>
      <c r="E32" s="64" t="s">
        <v>130</v>
      </c>
      <c r="F32" s="31" t="s">
        <v>283</v>
      </c>
      <c r="G32" s="65" t="str">
        <f t="shared" si="0"/>
        <v>DI18_Chopper-1 PU Cylinder-1 Rev FB</v>
      </c>
      <c r="H32" s="65" t="s">
        <v>277</v>
      </c>
      <c r="I32" s="65"/>
      <c r="J32" s="64">
        <v>18</v>
      </c>
      <c r="K32" s="64" t="s">
        <v>284</v>
      </c>
      <c r="L32" s="64"/>
      <c r="M32" s="64" t="s">
        <v>285</v>
      </c>
      <c r="N32" s="31" t="s">
        <v>286</v>
      </c>
      <c r="O32" s="65" t="str">
        <f t="shared" si="1"/>
        <v>DO18_Chopper-2 PU Cylinder-1 Fwd SOV</v>
      </c>
      <c r="P32" s="65"/>
      <c r="Q32" s="149"/>
    </row>
    <row r="33" spans="1:17" ht="15.75">
      <c r="A33" s="63">
        <v>19</v>
      </c>
      <c r="B33" s="64" t="s">
        <v>287</v>
      </c>
      <c r="C33" s="64"/>
      <c r="D33" s="64" t="s">
        <v>288</v>
      </c>
      <c r="E33" s="64" t="s">
        <v>130</v>
      </c>
      <c r="F33" s="31" t="s">
        <v>289</v>
      </c>
      <c r="G33" s="65" t="str">
        <f t="shared" si="0"/>
        <v>DI19_Chopper-1 PU Cylinder-2 Fwd FB</v>
      </c>
      <c r="H33" s="65" t="s">
        <v>277</v>
      </c>
      <c r="I33" s="65"/>
      <c r="J33" s="64">
        <v>19</v>
      </c>
      <c r="K33" s="64" t="s">
        <v>290</v>
      </c>
      <c r="L33" s="64"/>
      <c r="M33" s="64" t="s">
        <v>291</v>
      </c>
      <c r="N33" s="31" t="s">
        <v>292</v>
      </c>
      <c r="O33" s="65" t="str">
        <f t="shared" si="1"/>
        <v>DO19_Chopper-2 PU Cylinder-1 Rev SOV</v>
      </c>
      <c r="P33" s="65"/>
      <c r="Q33" s="149"/>
    </row>
    <row r="34" spans="1:17" ht="15.75">
      <c r="A34" s="63">
        <v>20</v>
      </c>
      <c r="B34" s="64" t="s">
        <v>293</v>
      </c>
      <c r="C34" s="64"/>
      <c r="D34" s="64" t="s">
        <v>294</v>
      </c>
      <c r="E34" s="64" t="s">
        <v>130</v>
      </c>
      <c r="F34" s="31" t="s">
        <v>295</v>
      </c>
      <c r="G34" s="65" t="str">
        <f t="shared" si="0"/>
        <v>DI20_Chopper-1 PU Cylinder-2 Rev FB</v>
      </c>
      <c r="H34" s="65" t="s">
        <v>277</v>
      </c>
      <c r="I34" s="65"/>
      <c r="J34" s="64">
        <v>20</v>
      </c>
      <c r="K34" s="64" t="s">
        <v>296</v>
      </c>
      <c r="L34" s="64"/>
      <c r="M34" s="64" t="s">
        <v>297</v>
      </c>
      <c r="N34" s="31" t="s">
        <v>298</v>
      </c>
      <c r="O34" s="65" t="str">
        <f t="shared" si="1"/>
        <v>DO20_Chopper-2 PU Cylinder-2 Fwd SOV</v>
      </c>
      <c r="P34" s="65"/>
      <c r="Q34" s="149"/>
    </row>
    <row r="35" spans="1:17" ht="15.75">
      <c r="A35" s="63">
        <v>21</v>
      </c>
      <c r="B35" s="64" t="s">
        <v>299</v>
      </c>
      <c r="C35" s="64"/>
      <c r="D35" s="64" t="s">
        <v>300</v>
      </c>
      <c r="E35" s="64" t="s">
        <v>130</v>
      </c>
      <c r="F35" s="31" t="s">
        <v>301</v>
      </c>
      <c r="G35" s="65" t="str">
        <f t="shared" si="0"/>
        <v>DI21_Chopper-1 Pressure Roller Cylinder Fwd FB</v>
      </c>
      <c r="H35" s="65" t="s">
        <v>277</v>
      </c>
      <c r="I35" s="65"/>
      <c r="J35" s="64">
        <v>21</v>
      </c>
      <c r="K35" s="64" t="s">
        <v>302</v>
      </c>
      <c r="L35" s="64"/>
      <c r="M35" s="64" t="s">
        <v>303</v>
      </c>
      <c r="N35" s="31" t="s">
        <v>304</v>
      </c>
      <c r="O35" s="65" t="str">
        <f t="shared" si="1"/>
        <v>DO21_Chopper-2 PU Cylinder-2 Rev SOV</v>
      </c>
      <c r="P35" s="65"/>
      <c r="Q35" s="149"/>
    </row>
    <row r="36" spans="1:17" ht="15.75">
      <c r="A36" s="63">
        <v>22</v>
      </c>
      <c r="B36" s="64" t="s">
        <v>305</v>
      </c>
      <c r="C36" s="64"/>
      <c r="D36" s="64" t="s">
        <v>306</v>
      </c>
      <c r="E36" s="64" t="s">
        <v>130</v>
      </c>
      <c r="F36" s="31" t="s">
        <v>307</v>
      </c>
      <c r="G36" s="65" t="str">
        <f t="shared" si="0"/>
        <v>DI22_Chopper-1 Pressure Roller Cylinder Rev FB</v>
      </c>
      <c r="H36" s="65" t="s">
        <v>277</v>
      </c>
      <c r="I36" s="65"/>
      <c r="J36" s="64">
        <v>22</v>
      </c>
      <c r="K36" s="64" t="s">
        <v>308</v>
      </c>
      <c r="L36" s="64"/>
      <c r="M36" s="64" t="s">
        <v>309</v>
      </c>
      <c r="N36" s="31" t="s">
        <v>310</v>
      </c>
      <c r="O36" s="65" t="str">
        <f t="shared" si="1"/>
        <v>DO22_Chopper-2 Pressure Roller Cylinder Fwd SOV</v>
      </c>
      <c r="P36" s="65"/>
      <c r="Q36" s="149"/>
    </row>
    <row r="37" spans="1:17" ht="15.75">
      <c r="A37" s="63">
        <v>23</v>
      </c>
      <c r="B37" s="64" t="s">
        <v>311</v>
      </c>
      <c r="C37" s="64"/>
      <c r="D37" s="64" t="s">
        <v>312</v>
      </c>
      <c r="E37" s="64" t="s">
        <v>130</v>
      </c>
      <c r="F37" s="31" t="s">
        <v>205</v>
      </c>
      <c r="G37" s="65" t="str">
        <f t="shared" si="0"/>
        <v>DI23_Spare DI</v>
      </c>
      <c r="H37" s="65"/>
      <c r="I37" s="65"/>
      <c r="J37" s="64">
        <v>23</v>
      </c>
      <c r="K37" s="64" t="s">
        <v>313</v>
      </c>
      <c r="L37" s="64"/>
      <c r="M37" s="64" t="s">
        <v>314</v>
      </c>
      <c r="N37" s="31" t="s">
        <v>315</v>
      </c>
      <c r="O37" s="65" t="str">
        <f t="shared" si="1"/>
        <v>DO23_Chopper-2 Pressure Roller Cylinder Rev SOV</v>
      </c>
      <c r="P37" s="65"/>
      <c r="Q37" s="149"/>
    </row>
    <row r="38" spans="1:17" ht="15.75">
      <c r="A38" s="63">
        <v>24</v>
      </c>
      <c r="B38" s="64" t="s">
        <v>316</v>
      </c>
      <c r="C38" s="64"/>
      <c r="D38" s="64" t="s">
        <v>317</v>
      </c>
      <c r="E38" s="64" t="s">
        <v>130</v>
      </c>
      <c r="F38" s="31" t="s">
        <v>205</v>
      </c>
      <c r="G38" s="65" t="str">
        <f t="shared" si="0"/>
        <v>DI24_Spare DI</v>
      </c>
      <c r="H38" s="65"/>
      <c r="I38" s="65"/>
      <c r="J38" s="64">
        <v>24</v>
      </c>
      <c r="K38" s="64" t="s">
        <v>318</v>
      </c>
      <c r="L38" s="64"/>
      <c r="M38" s="64" t="s">
        <v>319</v>
      </c>
      <c r="N38" s="65" t="s">
        <v>227</v>
      </c>
      <c r="O38" s="65" t="str">
        <f t="shared" si="1"/>
        <v>DO24_Spare DO</v>
      </c>
      <c r="P38" s="65"/>
      <c r="Q38" s="149"/>
    </row>
    <row r="39" spans="1:17" ht="15.75">
      <c r="A39" s="63">
        <v>25</v>
      </c>
      <c r="B39" s="64" t="s">
        <v>320</v>
      </c>
      <c r="C39" s="64"/>
      <c r="D39" s="64" t="s">
        <v>321</v>
      </c>
      <c r="E39" s="64" t="s">
        <v>130</v>
      </c>
      <c r="F39" s="31" t="s">
        <v>322</v>
      </c>
      <c r="G39" s="65" t="str">
        <f t="shared" si="0"/>
        <v>DI25_Chopper-2 PU Cylinder-1 Fwd FB</v>
      </c>
      <c r="H39" s="65" t="s">
        <v>277</v>
      </c>
      <c r="I39" s="65"/>
      <c r="J39" s="64">
        <v>25</v>
      </c>
      <c r="K39" s="64" t="s">
        <v>323</v>
      </c>
      <c r="L39" s="64"/>
      <c r="M39" s="64" t="s">
        <v>324</v>
      </c>
      <c r="N39" s="31" t="s">
        <v>325</v>
      </c>
      <c r="O39" s="65" t="str">
        <f t="shared" si="1"/>
        <v>DO25_Spreader Start PB Lamp</v>
      </c>
      <c r="P39" s="65"/>
      <c r="Q39" s="149"/>
    </row>
    <row r="40" spans="1:17" ht="15.75">
      <c r="A40" s="63">
        <v>26</v>
      </c>
      <c r="B40" s="64" t="s">
        <v>326</v>
      </c>
      <c r="C40" s="64"/>
      <c r="D40" s="64" t="s">
        <v>327</v>
      </c>
      <c r="E40" s="64" t="s">
        <v>130</v>
      </c>
      <c r="F40" s="31" t="s">
        <v>328</v>
      </c>
      <c r="G40" s="65" t="str">
        <f t="shared" si="0"/>
        <v>DI26_Chopper-2 PU Cylinder-1 Rev FB</v>
      </c>
      <c r="H40" s="65" t="s">
        <v>277</v>
      </c>
      <c r="I40" s="65"/>
      <c r="J40" s="64">
        <v>26</v>
      </c>
      <c r="K40" s="64" t="s">
        <v>329</v>
      </c>
      <c r="L40" s="64"/>
      <c r="M40" s="64" t="s">
        <v>330</v>
      </c>
      <c r="N40" s="31" t="s">
        <v>331</v>
      </c>
      <c r="O40" s="65" t="str">
        <f t="shared" si="1"/>
        <v>DO26_Applicator Start PB Lamp</v>
      </c>
      <c r="P40" s="65"/>
      <c r="Q40" s="149"/>
    </row>
    <row r="41" spans="1:17" ht="15.75">
      <c r="A41" s="63">
        <v>27</v>
      </c>
      <c r="B41" s="64" t="s">
        <v>332</v>
      </c>
      <c r="C41" s="64"/>
      <c r="D41" s="64" t="s">
        <v>333</v>
      </c>
      <c r="E41" s="64" t="s">
        <v>130</v>
      </c>
      <c r="F41" s="31" t="s">
        <v>334</v>
      </c>
      <c r="G41" s="65" t="str">
        <f t="shared" si="0"/>
        <v>DI27_Chopper-2 PU Cylinder-2 Fwd FB</v>
      </c>
      <c r="H41" s="65" t="s">
        <v>277</v>
      </c>
      <c r="I41" s="65"/>
      <c r="J41" s="64">
        <v>27</v>
      </c>
      <c r="K41" s="64" t="s">
        <v>335</v>
      </c>
      <c r="L41" s="64"/>
      <c r="M41" s="64" t="s">
        <v>336</v>
      </c>
      <c r="N41" s="65" t="s">
        <v>227</v>
      </c>
      <c r="O41" s="65" t="str">
        <f t="shared" si="1"/>
        <v>DO27_Spare DO</v>
      </c>
      <c r="P41" s="65"/>
      <c r="Q41" s="149"/>
    </row>
    <row r="42" spans="1:17" ht="15.75">
      <c r="A42" s="63">
        <v>28</v>
      </c>
      <c r="B42" s="64" t="s">
        <v>337</v>
      </c>
      <c r="C42" s="64"/>
      <c r="D42" s="64" t="s">
        <v>338</v>
      </c>
      <c r="E42" s="64" t="s">
        <v>130</v>
      </c>
      <c r="F42" s="31" t="s">
        <v>339</v>
      </c>
      <c r="G42" s="65" t="str">
        <f t="shared" si="0"/>
        <v>DI28_Chopper-2 PU Cylinder-2 Rev FB</v>
      </c>
      <c r="H42" s="65" t="s">
        <v>277</v>
      </c>
      <c r="I42" s="65"/>
      <c r="J42" s="64">
        <v>28</v>
      </c>
      <c r="K42" s="64" t="s">
        <v>340</v>
      </c>
      <c r="L42" s="64"/>
      <c r="M42" s="64" t="s">
        <v>341</v>
      </c>
      <c r="N42" s="65" t="s">
        <v>227</v>
      </c>
      <c r="O42" s="65" t="str">
        <f t="shared" si="1"/>
        <v>DO28_Spare DO</v>
      </c>
      <c r="P42" s="65"/>
      <c r="Q42" s="149"/>
    </row>
    <row r="43" spans="1:17" ht="15.75">
      <c r="A43" s="63">
        <v>29</v>
      </c>
      <c r="B43" s="64" t="s">
        <v>342</v>
      </c>
      <c r="C43" s="64"/>
      <c r="D43" s="64" t="s">
        <v>343</v>
      </c>
      <c r="E43" s="64" t="s">
        <v>130</v>
      </c>
      <c r="F43" s="31" t="s">
        <v>344</v>
      </c>
      <c r="G43" s="65" t="str">
        <f t="shared" si="0"/>
        <v>DI29_Chopper-2 Pressure Roller Cylinder Fwd FB</v>
      </c>
      <c r="H43" s="65" t="s">
        <v>277</v>
      </c>
      <c r="I43" s="65"/>
      <c r="J43" s="64">
        <v>29</v>
      </c>
      <c r="K43" s="64" t="s">
        <v>345</v>
      </c>
      <c r="L43" s="64"/>
      <c r="M43" s="64" t="s">
        <v>346</v>
      </c>
      <c r="N43" s="65" t="s">
        <v>227</v>
      </c>
      <c r="O43" s="65" t="str">
        <f t="shared" si="1"/>
        <v>DO29_Spare DO</v>
      </c>
      <c r="P43" s="65"/>
      <c r="Q43" s="149"/>
    </row>
    <row r="44" spans="1:17" ht="15.75">
      <c r="A44" s="63">
        <v>30</v>
      </c>
      <c r="B44" s="64" t="s">
        <v>347</v>
      </c>
      <c r="C44" s="64"/>
      <c r="D44" s="64" t="s">
        <v>348</v>
      </c>
      <c r="E44" s="64" t="s">
        <v>130</v>
      </c>
      <c r="F44" s="31" t="s">
        <v>349</v>
      </c>
      <c r="G44" s="65" t="str">
        <f t="shared" si="0"/>
        <v>DI30_Chopper-2 Pressure Roller Cylinder Rev FB</v>
      </c>
      <c r="H44" s="65" t="s">
        <v>277</v>
      </c>
      <c r="I44" s="65"/>
      <c r="J44" s="64">
        <v>30</v>
      </c>
      <c r="K44" s="64" t="s">
        <v>350</v>
      </c>
      <c r="L44" s="64"/>
      <c r="M44" s="64" t="s">
        <v>351</v>
      </c>
      <c r="N44" s="65" t="s">
        <v>227</v>
      </c>
      <c r="O44" s="65" t="str">
        <f t="shared" si="1"/>
        <v>DO30_Spare DO</v>
      </c>
      <c r="P44" s="65"/>
      <c r="Q44" s="149"/>
    </row>
    <row r="45" spans="1:17" ht="15.75">
      <c r="A45" s="63">
        <v>31</v>
      </c>
      <c r="B45" s="64" t="s">
        <v>352</v>
      </c>
      <c r="C45" s="64"/>
      <c r="D45" s="64" t="s">
        <v>353</v>
      </c>
      <c r="E45" s="64" t="s">
        <v>130</v>
      </c>
      <c r="F45" s="31" t="s">
        <v>205</v>
      </c>
      <c r="G45" s="65" t="str">
        <f t="shared" si="0"/>
        <v>DI31_Spare DI</v>
      </c>
      <c r="H45" s="65"/>
      <c r="I45" s="65"/>
      <c r="J45" s="64">
        <v>31</v>
      </c>
      <c r="K45" s="64" t="s">
        <v>354</v>
      </c>
      <c r="L45" s="64"/>
      <c r="M45" s="64" t="s">
        <v>355</v>
      </c>
      <c r="N45" s="65" t="s">
        <v>227</v>
      </c>
      <c r="O45" s="65" t="str">
        <f t="shared" si="1"/>
        <v>DO31_Spare DO</v>
      </c>
      <c r="P45" s="65"/>
      <c r="Q45" s="149"/>
    </row>
    <row r="46" spans="1:17" ht="15.75">
      <c r="A46" s="63">
        <v>32</v>
      </c>
      <c r="B46" s="64" t="s">
        <v>356</v>
      </c>
      <c r="C46" s="64"/>
      <c r="D46" s="64" t="s">
        <v>357</v>
      </c>
      <c r="E46" s="64" t="s">
        <v>130</v>
      </c>
      <c r="F46" s="31" t="s">
        <v>205</v>
      </c>
      <c r="G46" s="65" t="str">
        <f t="shared" si="0"/>
        <v>DI32_Spare DI</v>
      </c>
      <c r="H46" s="65"/>
      <c r="I46" s="65"/>
      <c r="J46" s="64">
        <v>32</v>
      </c>
      <c r="K46" s="64" t="s">
        <v>358</v>
      </c>
      <c r="L46" s="64"/>
      <c r="M46" s="64" t="s">
        <v>359</v>
      </c>
      <c r="N46" s="65" t="s">
        <v>227</v>
      </c>
      <c r="O46" s="65" t="str">
        <f t="shared" si="1"/>
        <v>DO32_Spare DO</v>
      </c>
      <c r="P46" s="65"/>
      <c r="Q46" s="149"/>
    </row>
    <row r="47" spans="1:17" ht="15.75">
      <c r="A47" s="63">
        <v>33</v>
      </c>
      <c r="B47" s="64" t="s">
        <v>360</v>
      </c>
      <c r="C47" s="64"/>
      <c r="D47" s="64" t="s">
        <v>361</v>
      </c>
      <c r="E47" s="64" t="s">
        <v>130</v>
      </c>
      <c r="F47" s="31" t="s">
        <v>362</v>
      </c>
      <c r="G47" s="65" t="str">
        <f t="shared" si="0"/>
        <v>DI33_Spreader Local/Remote SS</v>
      </c>
      <c r="H47" s="65" t="s">
        <v>231</v>
      </c>
      <c r="I47" s="65"/>
      <c r="J47" s="64"/>
      <c r="K47" s="64"/>
      <c r="L47" s="64"/>
      <c r="M47" s="64"/>
      <c r="N47" s="65"/>
      <c r="O47" s="65"/>
      <c r="P47" s="65"/>
      <c r="Q47" s="149"/>
    </row>
    <row r="48" spans="1:17" ht="15.75">
      <c r="A48" s="63">
        <v>34</v>
      </c>
      <c r="B48" s="64" t="s">
        <v>363</v>
      </c>
      <c r="C48" s="64"/>
      <c r="D48" s="64" t="s">
        <v>364</v>
      </c>
      <c r="E48" s="64" t="s">
        <v>130</v>
      </c>
      <c r="F48" s="31" t="s">
        <v>365</v>
      </c>
      <c r="G48" s="65" t="str">
        <f t="shared" si="0"/>
        <v>DI34_Spreader Start PB</v>
      </c>
      <c r="H48" s="65" t="s">
        <v>179</v>
      </c>
      <c r="I48" s="65"/>
      <c r="J48" s="64"/>
      <c r="K48" s="64"/>
      <c r="L48" s="64"/>
      <c r="M48" s="64"/>
      <c r="N48" s="65"/>
      <c r="O48" s="65"/>
      <c r="P48" s="65"/>
      <c r="Q48" s="149"/>
    </row>
    <row r="49" spans="1:17" ht="15.75">
      <c r="A49" s="63">
        <v>35</v>
      </c>
      <c r="B49" s="64" t="s">
        <v>366</v>
      </c>
      <c r="C49" s="64"/>
      <c r="D49" s="64" t="s">
        <v>367</v>
      </c>
      <c r="E49" s="64" t="s">
        <v>130</v>
      </c>
      <c r="F49" s="31" t="s">
        <v>368</v>
      </c>
      <c r="G49" s="65" t="str">
        <f t="shared" si="0"/>
        <v>DI35_Spreader Stop PB</v>
      </c>
      <c r="H49" s="65" t="s">
        <v>187</v>
      </c>
      <c r="I49" s="65"/>
      <c r="J49" s="64"/>
      <c r="K49" s="64"/>
      <c r="L49" s="64"/>
      <c r="M49" s="64"/>
      <c r="N49" s="65"/>
      <c r="O49" s="65"/>
      <c r="P49" s="65"/>
      <c r="Q49" s="149"/>
    </row>
    <row r="50" spans="1:17" ht="15.75">
      <c r="A50" s="63">
        <v>36</v>
      </c>
      <c r="B50" s="64" t="s">
        <v>369</v>
      </c>
      <c r="C50" s="64"/>
      <c r="D50" s="64" t="s">
        <v>370</v>
      </c>
      <c r="E50" s="64" t="s">
        <v>130</v>
      </c>
      <c r="F50" s="31" t="s">
        <v>205</v>
      </c>
      <c r="G50" s="65" t="str">
        <f t="shared" si="0"/>
        <v>DI36_Spare DI</v>
      </c>
      <c r="H50" s="65"/>
      <c r="I50" s="65"/>
      <c r="J50" s="64"/>
      <c r="K50" s="64"/>
      <c r="L50" s="64"/>
      <c r="M50" s="64"/>
      <c r="N50" s="65"/>
      <c r="O50" s="65"/>
      <c r="P50" s="65"/>
      <c r="Q50" s="149"/>
    </row>
    <row r="51" spans="1:17" ht="15.75">
      <c r="A51" s="63">
        <v>37</v>
      </c>
      <c r="B51" s="64" t="s">
        <v>371</v>
      </c>
      <c r="C51" s="64"/>
      <c r="D51" s="64" t="s">
        <v>372</v>
      </c>
      <c r="E51" s="64" t="s">
        <v>130</v>
      </c>
      <c r="F51" s="31" t="s">
        <v>205</v>
      </c>
      <c r="G51" s="65" t="str">
        <f t="shared" si="0"/>
        <v>DI37_Spare DI</v>
      </c>
      <c r="H51" s="65"/>
      <c r="I51" s="65"/>
      <c r="J51" s="64"/>
      <c r="K51" s="64"/>
      <c r="L51" s="64"/>
      <c r="M51" s="64"/>
      <c r="N51" s="65"/>
      <c r="O51" s="65"/>
      <c r="P51" s="65"/>
      <c r="Q51" s="149"/>
    </row>
    <row r="52" spans="1:17" ht="15.75">
      <c r="A52" s="63">
        <v>38</v>
      </c>
      <c r="B52" s="64" t="s">
        <v>373</v>
      </c>
      <c r="C52" s="64"/>
      <c r="D52" s="64" t="s">
        <v>374</v>
      </c>
      <c r="E52" s="64" t="s">
        <v>130</v>
      </c>
      <c r="F52" s="31" t="s">
        <v>375</v>
      </c>
      <c r="G52" s="65" t="str">
        <f t="shared" si="0"/>
        <v>DI38_Applicator Local/Remote SS</v>
      </c>
      <c r="H52" s="65" t="s">
        <v>231</v>
      </c>
      <c r="I52" s="65"/>
      <c r="J52" s="64"/>
      <c r="K52" s="64"/>
      <c r="L52" s="64"/>
      <c r="M52" s="64"/>
      <c r="N52" s="65"/>
      <c r="O52" s="65"/>
      <c r="P52" s="65"/>
      <c r="Q52" s="149"/>
    </row>
    <row r="53" spans="1:17" ht="15.75">
      <c r="A53" s="63">
        <v>39</v>
      </c>
      <c r="B53" s="64" t="s">
        <v>376</v>
      </c>
      <c r="C53" s="64"/>
      <c r="D53" s="64" t="s">
        <v>377</v>
      </c>
      <c r="E53" s="64" t="s">
        <v>130</v>
      </c>
      <c r="F53" s="31" t="s">
        <v>378</v>
      </c>
      <c r="G53" s="65" t="str">
        <f t="shared" si="0"/>
        <v>DI39_Applicator Start PB</v>
      </c>
      <c r="H53" s="65" t="s">
        <v>179</v>
      </c>
      <c r="I53" s="65"/>
      <c r="J53" s="64"/>
      <c r="K53" s="64"/>
      <c r="L53" s="64"/>
      <c r="M53" s="64"/>
      <c r="N53" s="65"/>
      <c r="O53" s="65"/>
      <c r="P53" s="65"/>
      <c r="Q53" s="149"/>
    </row>
    <row r="54" spans="1:17" ht="15.75">
      <c r="A54" s="63">
        <v>40</v>
      </c>
      <c r="B54" s="64" t="s">
        <v>379</v>
      </c>
      <c r="C54" s="64"/>
      <c r="D54" s="64" t="s">
        <v>380</v>
      </c>
      <c r="E54" s="64" t="s">
        <v>130</v>
      </c>
      <c r="F54" s="31" t="s">
        <v>381</v>
      </c>
      <c r="G54" s="65" t="str">
        <f t="shared" si="0"/>
        <v>DI40_Applicator Stop PB</v>
      </c>
      <c r="H54" s="65" t="s">
        <v>187</v>
      </c>
      <c r="I54" s="65"/>
      <c r="J54" s="64"/>
      <c r="K54" s="64"/>
      <c r="L54" s="64"/>
      <c r="M54" s="64"/>
      <c r="N54" s="65"/>
      <c r="O54" s="65"/>
      <c r="P54" s="65"/>
      <c r="Q54" s="149"/>
    </row>
    <row r="55" spans="1:17" ht="16.5" thickBot="1">
      <c r="A55" s="63">
        <v>41</v>
      </c>
      <c r="B55" s="64" t="s">
        <v>382</v>
      </c>
      <c r="C55" s="64"/>
      <c r="D55" s="64" t="s">
        <v>383</v>
      </c>
      <c r="E55" s="64" t="s">
        <v>130</v>
      </c>
      <c r="F55" s="31" t="s">
        <v>205</v>
      </c>
      <c r="G55" s="65" t="str">
        <f t="shared" si="0"/>
        <v>DI41_Spare DI</v>
      </c>
      <c r="H55" s="65"/>
      <c r="I55" s="65"/>
      <c r="J55" s="64"/>
      <c r="K55" s="64"/>
      <c r="L55" s="64"/>
      <c r="M55" s="64"/>
      <c r="N55" s="65"/>
      <c r="O55" s="65"/>
      <c r="P55" s="65"/>
      <c r="Q55" s="149"/>
    </row>
    <row r="56" spans="1:17" ht="15.75">
      <c r="A56" s="63">
        <v>42</v>
      </c>
      <c r="B56" s="64" t="s">
        <v>384</v>
      </c>
      <c r="C56" s="64"/>
      <c r="D56" s="64" t="s">
        <v>385</v>
      </c>
      <c r="E56" s="64" t="s">
        <v>130</v>
      </c>
      <c r="F56" s="27" t="s">
        <v>386</v>
      </c>
      <c r="G56" s="65" t="str">
        <f t="shared" si="0"/>
        <v>DI42_Chopper Motor-1 MPCB Healthy</v>
      </c>
      <c r="H56" s="65" t="s">
        <v>387</v>
      </c>
      <c r="I56" s="65"/>
      <c r="J56" s="64"/>
      <c r="K56" s="64"/>
      <c r="L56" s="64"/>
      <c r="M56" s="64"/>
      <c r="N56" s="65"/>
      <c r="O56" s="65"/>
      <c r="P56" s="65"/>
      <c r="Q56" s="149"/>
    </row>
    <row r="57" spans="1:17" ht="15.75">
      <c r="A57" s="63">
        <v>43</v>
      </c>
      <c r="B57" s="64" t="s">
        <v>388</v>
      </c>
      <c r="C57" s="64"/>
      <c r="D57" s="64" t="s">
        <v>389</v>
      </c>
      <c r="E57" s="64" t="s">
        <v>130</v>
      </c>
      <c r="F57" s="31" t="s">
        <v>390</v>
      </c>
      <c r="G57" s="65" t="str">
        <f t="shared" si="0"/>
        <v>DI43_Chopper Motor-2 MPCB Healthy</v>
      </c>
      <c r="H57" s="65" t="s">
        <v>387</v>
      </c>
      <c r="I57" s="65"/>
      <c r="J57" s="64"/>
      <c r="K57" s="64"/>
      <c r="L57" s="64"/>
      <c r="M57" s="64"/>
      <c r="N57" s="65"/>
      <c r="O57" s="65"/>
      <c r="P57" s="65"/>
      <c r="Q57" s="149"/>
    </row>
    <row r="58" spans="1:17" ht="15.75">
      <c r="A58" s="63">
        <v>44</v>
      </c>
      <c r="B58" s="64" t="s">
        <v>391</v>
      </c>
      <c r="C58" s="64"/>
      <c r="D58" s="64" t="s">
        <v>392</v>
      </c>
      <c r="E58" s="64" t="s">
        <v>130</v>
      </c>
      <c r="F58" s="31" t="s">
        <v>393</v>
      </c>
      <c r="G58" s="65" t="str">
        <f t="shared" si="0"/>
        <v>DI44_Anti-Static Coating Roller MPCB Healthy</v>
      </c>
      <c r="H58" s="65" t="s">
        <v>387</v>
      </c>
      <c r="I58" s="65"/>
      <c r="J58" s="64"/>
      <c r="K58" s="64"/>
      <c r="L58" s="64"/>
      <c r="M58" s="64"/>
      <c r="N58" s="65"/>
      <c r="O58" s="65"/>
      <c r="P58" s="65"/>
      <c r="Q58" s="149"/>
    </row>
    <row r="59" spans="1:17" ht="15.75">
      <c r="A59" s="63">
        <v>45</v>
      </c>
      <c r="B59" s="64" t="s">
        <v>394</v>
      </c>
      <c r="C59" s="64"/>
      <c r="D59" s="64" t="s">
        <v>395</v>
      </c>
      <c r="E59" s="64" t="s">
        <v>130</v>
      </c>
      <c r="F59" s="31" t="s">
        <v>396</v>
      </c>
      <c r="G59" s="65" t="str">
        <f t="shared" si="0"/>
        <v>DI45_Spreader Motor-2 MPCB Healthy</v>
      </c>
      <c r="H59" s="65" t="s">
        <v>387</v>
      </c>
      <c r="I59" s="65"/>
      <c r="J59" s="64"/>
      <c r="K59" s="64"/>
      <c r="L59" s="64"/>
      <c r="M59" s="64"/>
      <c r="N59" s="65"/>
      <c r="O59" s="65"/>
      <c r="P59" s="65"/>
      <c r="Q59" s="149"/>
    </row>
    <row r="60" spans="1:17" ht="15.75">
      <c r="A60" s="63">
        <v>46</v>
      </c>
      <c r="B60" s="64" t="s">
        <v>397</v>
      </c>
      <c r="C60" s="64"/>
      <c r="D60" s="64" t="s">
        <v>398</v>
      </c>
      <c r="E60" s="64" t="s">
        <v>130</v>
      </c>
      <c r="F60" s="31" t="s">
        <v>399</v>
      </c>
      <c r="G60" s="65" t="str">
        <f t="shared" si="0"/>
        <v>DI46_Feeders-1 MPCB Healthy</v>
      </c>
      <c r="H60" s="65" t="s">
        <v>387</v>
      </c>
      <c r="I60" s="65"/>
      <c r="J60" s="64"/>
      <c r="K60" s="64"/>
      <c r="L60" s="64"/>
      <c r="M60" s="64"/>
      <c r="N60" s="65"/>
      <c r="O60" s="65"/>
      <c r="P60" s="65"/>
      <c r="Q60" s="149"/>
    </row>
    <row r="61" spans="1:17" ht="15.75">
      <c r="A61" s="63">
        <v>47</v>
      </c>
      <c r="B61" s="64" t="s">
        <v>400</v>
      </c>
      <c r="C61" s="64"/>
      <c r="D61" s="64" t="s">
        <v>401</v>
      </c>
      <c r="E61" s="64" t="s">
        <v>130</v>
      </c>
      <c r="F61" s="31" t="s">
        <v>402</v>
      </c>
      <c r="G61" s="65" t="str">
        <f t="shared" si="0"/>
        <v>DI47_Feeders-2 MPCB Healthy</v>
      </c>
      <c r="H61" s="65" t="s">
        <v>387</v>
      </c>
      <c r="I61" s="65"/>
      <c r="J61" s="64"/>
      <c r="K61" s="64"/>
      <c r="L61" s="64"/>
      <c r="M61" s="64"/>
      <c r="N61" s="65"/>
      <c r="O61" s="65"/>
      <c r="P61" s="65"/>
      <c r="Q61" s="149"/>
    </row>
    <row r="62" spans="1:17" ht="15.75">
      <c r="A62" s="63">
        <v>48</v>
      </c>
      <c r="B62" s="64" t="s">
        <v>403</v>
      </c>
      <c r="C62" s="64"/>
      <c r="D62" s="64" t="s">
        <v>404</v>
      </c>
      <c r="E62" s="64" t="s">
        <v>130</v>
      </c>
      <c r="F62" s="31" t="s">
        <v>405</v>
      </c>
      <c r="G62" s="65" t="str">
        <f t="shared" si="0"/>
        <v>DI48_Feeders-3 MPCB Healthy</v>
      </c>
      <c r="H62" s="65" t="s">
        <v>387</v>
      </c>
      <c r="I62" s="65"/>
      <c r="J62" s="64"/>
      <c r="K62" s="64"/>
      <c r="L62" s="64"/>
      <c r="M62" s="64"/>
      <c r="N62" s="65"/>
      <c r="O62" s="65"/>
      <c r="P62" s="65"/>
      <c r="Q62" s="149"/>
    </row>
    <row r="63" spans="1:17" ht="16.5" thickBot="1">
      <c r="A63" s="63">
        <v>49</v>
      </c>
      <c r="B63" s="64" t="s">
        <v>406</v>
      </c>
      <c r="D63" s="64" t="s">
        <v>407</v>
      </c>
      <c r="E63" s="64" t="s">
        <v>130</v>
      </c>
      <c r="F63" s="31" t="s">
        <v>205</v>
      </c>
      <c r="G63" s="65" t="str">
        <f t="shared" ref="G63:G70" si="2">CONCATENATE(B63,E63,F63)</f>
        <v>DI49_Spare DI</v>
      </c>
    </row>
    <row r="64" spans="1:17" ht="15.75">
      <c r="A64" s="63">
        <v>50</v>
      </c>
      <c r="B64" s="64" t="s">
        <v>408</v>
      </c>
      <c r="D64" s="64" t="s">
        <v>409</v>
      </c>
      <c r="E64" s="64" t="s">
        <v>130</v>
      </c>
      <c r="F64" s="27" t="s">
        <v>410</v>
      </c>
      <c r="G64" s="65" t="str">
        <f t="shared" si="2"/>
        <v>DI50_Chopper Motor-1 Disconnector FB</v>
      </c>
      <c r="H64" s="5" t="s">
        <v>411</v>
      </c>
    </row>
    <row r="65" spans="1:8" ht="15.75">
      <c r="A65" s="63">
        <v>51</v>
      </c>
      <c r="B65" s="64" t="s">
        <v>412</v>
      </c>
      <c r="D65" s="64" t="s">
        <v>413</v>
      </c>
      <c r="E65" s="64" t="s">
        <v>130</v>
      </c>
      <c r="F65" s="31" t="s">
        <v>414</v>
      </c>
      <c r="G65" s="65" t="str">
        <f t="shared" si="2"/>
        <v>DI51_Chopper Motor-2 Disconnector FB</v>
      </c>
      <c r="H65" s="5" t="s">
        <v>411</v>
      </c>
    </row>
    <row r="66" spans="1:8" ht="15.75">
      <c r="A66" s="63">
        <v>52</v>
      </c>
      <c r="B66" s="64" t="s">
        <v>415</v>
      </c>
      <c r="D66" s="64" t="s">
        <v>416</v>
      </c>
      <c r="E66" s="64" t="s">
        <v>130</v>
      </c>
      <c r="F66" s="31" t="s">
        <v>417</v>
      </c>
      <c r="G66" s="65" t="str">
        <f t="shared" si="2"/>
        <v>DI52_Anti-Static Coating Roller Disconnector FB</v>
      </c>
      <c r="H66" s="5" t="s">
        <v>411</v>
      </c>
    </row>
    <row r="67" spans="1:8" ht="15.75">
      <c r="A67" s="63">
        <v>53</v>
      </c>
      <c r="B67" s="64" t="s">
        <v>418</v>
      </c>
      <c r="D67" s="64" t="s">
        <v>419</v>
      </c>
      <c r="E67" s="64" t="s">
        <v>130</v>
      </c>
      <c r="F67" s="31" t="s">
        <v>420</v>
      </c>
      <c r="G67" s="65" t="str">
        <f t="shared" si="2"/>
        <v>DI53_Spreader Motor-2 Disconnector FB</v>
      </c>
      <c r="H67" s="5" t="s">
        <v>411</v>
      </c>
    </row>
    <row r="68" spans="1:8" ht="15.75">
      <c r="A68" s="63">
        <v>54</v>
      </c>
      <c r="B68" s="64" t="s">
        <v>421</v>
      </c>
      <c r="D68" s="64" t="s">
        <v>422</v>
      </c>
      <c r="E68" s="64" t="s">
        <v>130</v>
      </c>
      <c r="F68" s="31" t="s">
        <v>205</v>
      </c>
      <c r="G68" s="65" t="str">
        <f t="shared" si="2"/>
        <v>DI54_Spare DI</v>
      </c>
      <c r="H68" s="65"/>
    </row>
    <row r="69" spans="1:8" ht="15.75">
      <c r="A69" s="63">
        <v>55</v>
      </c>
      <c r="B69" s="64" t="s">
        <v>423</v>
      </c>
      <c r="D69" s="64" t="s">
        <v>424</v>
      </c>
      <c r="E69" s="64" t="s">
        <v>130</v>
      </c>
      <c r="F69" s="31" t="s">
        <v>205</v>
      </c>
      <c r="G69" s="65" t="str">
        <f t="shared" si="2"/>
        <v>DI55_Spare DI</v>
      </c>
      <c r="H69" s="65"/>
    </row>
    <row r="70" spans="1:8" ht="15.75">
      <c r="A70" s="63">
        <v>56</v>
      </c>
      <c r="B70" s="64" t="s">
        <v>425</v>
      </c>
      <c r="D70" s="64" t="s">
        <v>426</v>
      </c>
      <c r="E70" s="64" t="s">
        <v>130</v>
      </c>
      <c r="F70" s="31" t="s">
        <v>205</v>
      </c>
      <c r="G70" s="65" t="str">
        <f t="shared" si="2"/>
        <v>DI56_Spare DI</v>
      </c>
      <c r="H70" s="65"/>
    </row>
  </sheetData>
  <autoFilter ref="D5:Q62"/>
  <mergeCells count="4">
    <mergeCell ref="A2:Q2"/>
    <mergeCell ref="A3:Q3"/>
    <mergeCell ref="A4:I4"/>
    <mergeCell ref="J4:Q4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topLeftCell="G1" zoomScale="70" zoomScaleNormal="70" workbookViewId="0">
      <selection activeCell="N23" sqref="N23:N24"/>
    </sheetView>
  </sheetViews>
  <sheetFormatPr defaultColWidth="8.85546875" defaultRowHeight="14.25"/>
  <cols>
    <col min="1" max="1" width="7.140625" style="6" customWidth="1"/>
    <col min="2" max="4" width="20.7109375" style="6" customWidth="1"/>
    <col min="5" max="5" width="2.28515625" style="6" bestFit="1" customWidth="1"/>
    <col min="6" max="6" width="52.5703125" style="5" bestFit="1" customWidth="1"/>
    <col min="7" max="7" width="58.28515625" style="5" customWidth="1"/>
    <col min="8" max="8" width="32.28515625" style="5" customWidth="1"/>
    <col min="9" max="9" width="22.85546875" style="5" customWidth="1"/>
    <col min="10" max="10" width="12.5703125" style="6" bestFit="1" customWidth="1"/>
    <col min="11" max="12" width="23.28515625" style="6" customWidth="1"/>
    <col min="13" max="13" width="16.28515625" style="6" bestFit="1" customWidth="1"/>
    <col min="14" max="14" width="51.7109375" style="7" bestFit="1" customWidth="1"/>
    <col min="15" max="15" width="52" style="7" customWidth="1"/>
    <col min="16" max="16" width="26.140625" style="7" customWidth="1"/>
    <col min="17" max="17" width="14.7109375" style="8" customWidth="1"/>
    <col min="18" max="16384" width="8.85546875" style="5"/>
  </cols>
  <sheetData>
    <row r="1" spans="1:17" s="3" customFormat="1" ht="16.5" thickBot="1">
      <c r="A1" s="1"/>
      <c r="B1" s="1"/>
      <c r="C1" s="1"/>
      <c r="D1" s="2"/>
      <c r="E1" s="2"/>
      <c r="J1" s="2"/>
      <c r="K1" s="2"/>
      <c r="L1" s="2"/>
      <c r="M1" s="2"/>
      <c r="N1" s="1"/>
      <c r="O1" s="1"/>
      <c r="P1" s="1"/>
      <c r="Q1" s="4"/>
    </row>
    <row r="2" spans="1:17" s="3" customFormat="1" ht="16.5" thickBot="1">
      <c r="A2" s="222"/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</row>
    <row r="3" spans="1:17" ht="15.75" thickBot="1">
      <c r="A3" s="224"/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</row>
    <row r="4" spans="1:17" ht="15.75" thickBot="1">
      <c r="A4" s="226" t="s">
        <v>114</v>
      </c>
      <c r="B4" s="227"/>
      <c r="C4" s="227"/>
      <c r="D4" s="227"/>
      <c r="E4" s="227"/>
      <c r="F4" s="227"/>
      <c r="G4" s="227"/>
      <c r="H4" s="227"/>
      <c r="I4" s="227"/>
      <c r="J4" s="227" t="s">
        <v>115</v>
      </c>
      <c r="K4" s="227"/>
      <c r="L4" s="227"/>
      <c r="M4" s="227"/>
      <c r="N4" s="227"/>
      <c r="O4" s="227"/>
      <c r="P4" s="227"/>
      <c r="Q4" s="227"/>
    </row>
    <row r="5" spans="1:17" ht="16.5" thickBot="1">
      <c r="A5" s="126" t="s">
        <v>116</v>
      </c>
      <c r="B5" s="127" t="s">
        <v>117</v>
      </c>
      <c r="C5" s="127" t="s">
        <v>118</v>
      </c>
      <c r="D5" s="128" t="s">
        <v>119</v>
      </c>
      <c r="E5" s="128"/>
      <c r="F5" s="129" t="s">
        <v>120</v>
      </c>
      <c r="G5" s="129" t="s">
        <v>121</v>
      </c>
      <c r="H5" s="129" t="s">
        <v>17</v>
      </c>
      <c r="I5" s="129" t="s">
        <v>122</v>
      </c>
      <c r="J5" s="127" t="s">
        <v>116</v>
      </c>
      <c r="K5" s="127" t="s">
        <v>123</v>
      </c>
      <c r="L5" s="127" t="s">
        <v>118</v>
      </c>
      <c r="M5" s="128" t="s">
        <v>119</v>
      </c>
      <c r="N5" s="130" t="s">
        <v>124</v>
      </c>
      <c r="O5" s="129" t="s">
        <v>125</v>
      </c>
      <c r="P5" s="129" t="s">
        <v>17</v>
      </c>
      <c r="Q5" s="129" t="s">
        <v>122</v>
      </c>
    </row>
    <row r="6" spans="1:17" ht="15.75">
      <c r="A6" s="116"/>
      <c r="B6" s="131"/>
      <c r="C6" s="131"/>
      <c r="D6" s="131"/>
      <c r="E6" s="131"/>
      <c r="F6" s="132" t="s">
        <v>126</v>
      </c>
      <c r="G6" s="132" t="s">
        <v>121</v>
      </c>
      <c r="H6" s="132"/>
      <c r="I6" s="132"/>
      <c r="J6" s="133"/>
      <c r="K6" s="133"/>
      <c r="L6" s="133"/>
      <c r="M6" s="134"/>
      <c r="N6" s="134" t="s">
        <v>127</v>
      </c>
      <c r="O6" s="134"/>
      <c r="P6" s="132"/>
      <c r="Q6" s="148"/>
    </row>
    <row r="7" spans="1:17" ht="15.75">
      <c r="A7" s="117">
        <v>1</v>
      </c>
      <c r="B7" s="64" t="s">
        <v>128</v>
      </c>
      <c r="C7" s="64"/>
      <c r="D7" s="64" t="s">
        <v>427</v>
      </c>
      <c r="E7" s="64" t="s">
        <v>130</v>
      </c>
      <c r="F7" s="31" t="s">
        <v>428</v>
      </c>
      <c r="G7" s="65" t="str">
        <f t="shared" ref="G7:G14" si="0">CONCATENATE(B7,E7,F7)</f>
        <v>SDI01_Dryer Infeed E-Stop 1/1</v>
      </c>
      <c r="H7" s="65" t="s">
        <v>132</v>
      </c>
      <c r="I7" s="65"/>
      <c r="J7" s="144">
        <v>1</v>
      </c>
      <c r="K7" s="144" t="s">
        <v>133</v>
      </c>
      <c r="L7" s="64"/>
      <c r="M7" s="64" t="s">
        <v>429</v>
      </c>
      <c r="N7" s="65" t="s">
        <v>430</v>
      </c>
      <c r="O7" s="65" t="str">
        <f t="shared" ref="O7:O46" si="1" xml:space="preserve"> CONCATENATE(K7,E7,N7)</f>
        <v>SDO01_Dryer Safety Healhy 1/1</v>
      </c>
      <c r="P7" s="65" t="s">
        <v>136</v>
      </c>
      <c r="Q7" s="149"/>
    </row>
    <row r="8" spans="1:17" ht="15.75">
      <c r="A8" s="117">
        <v>2</v>
      </c>
      <c r="B8" s="64" t="s">
        <v>137</v>
      </c>
      <c r="C8" s="64"/>
      <c r="D8" s="64" t="s">
        <v>431</v>
      </c>
      <c r="E8" s="64" t="s">
        <v>130</v>
      </c>
      <c r="F8" s="31" t="s">
        <v>432</v>
      </c>
      <c r="G8" s="65" t="str">
        <f t="shared" si="0"/>
        <v>SDI02_Dryer Infeed E-Stop 1/2</v>
      </c>
      <c r="H8" s="65" t="s">
        <v>132</v>
      </c>
      <c r="I8" s="65"/>
      <c r="J8" s="144">
        <v>2</v>
      </c>
      <c r="K8" s="144" t="s">
        <v>140</v>
      </c>
      <c r="L8" s="64"/>
      <c r="M8" s="64" t="s">
        <v>433</v>
      </c>
      <c r="N8" s="65" t="s">
        <v>434</v>
      </c>
      <c r="O8" s="65" t="str">
        <f t="shared" si="1"/>
        <v>SDO02_Dryer Safety Healhy 1/2</v>
      </c>
      <c r="P8" s="65" t="s">
        <v>136</v>
      </c>
      <c r="Q8" s="149"/>
    </row>
    <row r="9" spans="1:17" ht="15.75">
      <c r="A9" s="117">
        <v>3</v>
      </c>
      <c r="B9" s="64" t="s">
        <v>143</v>
      </c>
      <c r="C9" s="64"/>
      <c r="D9" s="64" t="s">
        <v>435</v>
      </c>
      <c r="E9" s="64" t="s">
        <v>130</v>
      </c>
      <c r="F9" s="31" t="s">
        <v>436</v>
      </c>
      <c r="G9" s="65" t="str">
        <f t="shared" si="0"/>
        <v>SDI03_Dryer Outfeed E-Stop 1/1</v>
      </c>
      <c r="H9" s="65" t="s">
        <v>132</v>
      </c>
      <c r="I9" s="65"/>
      <c r="J9" s="144">
        <v>3</v>
      </c>
      <c r="K9" s="144" t="s">
        <v>146</v>
      </c>
      <c r="L9" s="64"/>
      <c r="M9" s="64" t="s">
        <v>437</v>
      </c>
      <c r="N9" s="65" t="s">
        <v>438</v>
      </c>
      <c r="O9" s="65" t="str">
        <f t="shared" si="1"/>
        <v>SDO03_Spare</v>
      </c>
      <c r="P9" s="65"/>
      <c r="Q9" s="149"/>
    </row>
    <row r="10" spans="1:17" ht="15.75">
      <c r="A10" s="117">
        <v>4</v>
      </c>
      <c r="B10" s="64" t="s">
        <v>149</v>
      </c>
      <c r="C10" s="64"/>
      <c r="D10" s="64" t="s">
        <v>439</v>
      </c>
      <c r="E10" s="64" t="s">
        <v>130</v>
      </c>
      <c r="F10" s="31" t="s">
        <v>440</v>
      </c>
      <c r="G10" s="65" t="str">
        <f t="shared" si="0"/>
        <v>SDI04_Dryer Outfeed E-Stop 1/2</v>
      </c>
      <c r="H10" s="65" t="s">
        <v>132</v>
      </c>
      <c r="I10" s="65"/>
      <c r="J10" s="144">
        <v>4</v>
      </c>
      <c r="K10" s="144" t="s">
        <v>152</v>
      </c>
      <c r="L10" s="64"/>
      <c r="M10" s="64" t="s">
        <v>441</v>
      </c>
      <c r="N10" s="65" t="s">
        <v>438</v>
      </c>
      <c r="O10" s="65" t="str">
        <f t="shared" si="1"/>
        <v>SDO04_Spare</v>
      </c>
      <c r="P10" s="65"/>
      <c r="Q10" s="149"/>
    </row>
    <row r="11" spans="1:17" ht="15.75">
      <c r="A11" s="117">
        <v>5</v>
      </c>
      <c r="B11" s="64" t="s">
        <v>154</v>
      </c>
      <c r="C11" s="64"/>
      <c r="D11" s="64" t="s">
        <v>442</v>
      </c>
      <c r="E11" s="64" t="s">
        <v>130</v>
      </c>
      <c r="F11" s="31" t="s">
        <v>438</v>
      </c>
      <c r="G11" s="65" t="str">
        <f t="shared" si="0"/>
        <v>SDI05_Spare</v>
      </c>
      <c r="H11" s="65"/>
      <c r="I11" s="65"/>
      <c r="J11" s="144">
        <v>5</v>
      </c>
      <c r="K11" s="144" t="s">
        <v>157</v>
      </c>
      <c r="L11" s="64"/>
      <c r="M11" s="64" t="s">
        <v>443</v>
      </c>
      <c r="N11" s="65" t="s">
        <v>438</v>
      </c>
      <c r="O11" s="65" t="str">
        <f t="shared" si="1"/>
        <v>SDO05_Spare</v>
      </c>
      <c r="P11" s="65"/>
      <c r="Q11" s="149"/>
    </row>
    <row r="12" spans="1:17" ht="15.75">
      <c r="A12" s="117">
        <v>6</v>
      </c>
      <c r="B12" s="64" t="s">
        <v>159</v>
      </c>
      <c r="C12" s="64"/>
      <c r="D12" s="64" t="s">
        <v>444</v>
      </c>
      <c r="E12" s="64" t="s">
        <v>130</v>
      </c>
      <c r="F12" s="31" t="s">
        <v>438</v>
      </c>
      <c r="G12" s="65" t="str">
        <f t="shared" si="0"/>
        <v>SDI06_Spare</v>
      </c>
      <c r="H12" s="65"/>
      <c r="I12" s="65"/>
      <c r="J12" s="144">
        <v>6</v>
      </c>
      <c r="K12" s="144" t="s">
        <v>162</v>
      </c>
      <c r="L12" s="64"/>
      <c r="M12" s="64" t="s">
        <v>445</v>
      </c>
      <c r="N12" s="65" t="s">
        <v>438</v>
      </c>
      <c r="O12" s="65" t="str">
        <f t="shared" si="1"/>
        <v>SDO06_Spare</v>
      </c>
      <c r="P12" s="65"/>
      <c r="Q12" s="149"/>
    </row>
    <row r="13" spans="1:17" ht="15.75">
      <c r="A13" s="117">
        <v>7</v>
      </c>
      <c r="B13" s="64" t="s">
        <v>164</v>
      </c>
      <c r="C13" s="64"/>
      <c r="D13" s="64" t="s">
        <v>446</v>
      </c>
      <c r="E13" s="64" t="s">
        <v>130</v>
      </c>
      <c r="F13" s="31" t="s">
        <v>438</v>
      </c>
      <c r="G13" s="65" t="str">
        <f t="shared" si="0"/>
        <v>SDI07_Spare</v>
      </c>
      <c r="H13" s="65"/>
      <c r="I13" s="65"/>
      <c r="J13" s="144">
        <v>7</v>
      </c>
      <c r="K13" s="144" t="s">
        <v>167</v>
      </c>
      <c r="L13" s="64"/>
      <c r="M13" s="64" t="s">
        <v>447</v>
      </c>
      <c r="N13" s="65" t="s">
        <v>169</v>
      </c>
      <c r="O13" s="65" t="str">
        <f t="shared" si="1"/>
        <v>SDO07_Air Relief Valve1/1</v>
      </c>
      <c r="P13" s="65"/>
      <c r="Q13" s="149"/>
    </row>
    <row r="14" spans="1:17" ht="15.75">
      <c r="A14" s="117">
        <v>8</v>
      </c>
      <c r="B14" s="64" t="s">
        <v>170</v>
      </c>
      <c r="C14" s="64"/>
      <c r="D14" s="64" t="s">
        <v>448</v>
      </c>
      <c r="E14" s="64" t="s">
        <v>130</v>
      </c>
      <c r="F14" s="31" t="s">
        <v>438</v>
      </c>
      <c r="G14" s="65" t="str">
        <f t="shared" si="0"/>
        <v>SDI08_Spare</v>
      </c>
      <c r="H14" s="65"/>
      <c r="I14" s="65"/>
      <c r="J14" s="144">
        <v>8</v>
      </c>
      <c r="K14" s="144" t="s">
        <v>173</v>
      </c>
      <c r="L14" s="64"/>
      <c r="M14" s="64" t="s">
        <v>449</v>
      </c>
      <c r="N14" s="65" t="s">
        <v>175</v>
      </c>
      <c r="O14" s="65" t="str">
        <f t="shared" si="1"/>
        <v>SDO08_Air Relief Valve1/2</v>
      </c>
      <c r="P14" s="65"/>
      <c r="Q14" s="149"/>
    </row>
    <row r="15" spans="1:17" ht="15.75">
      <c r="A15" s="63">
        <v>1</v>
      </c>
      <c r="B15" s="64" t="s">
        <v>176</v>
      </c>
      <c r="C15" s="64"/>
      <c r="D15" s="64" t="s">
        <v>450</v>
      </c>
      <c r="E15" s="64" t="s">
        <v>130</v>
      </c>
      <c r="F15" s="31" t="s">
        <v>178</v>
      </c>
      <c r="G15" s="65" t="str">
        <f t="shared" ref="G15:G46" si="2">CONCATENATE(B15,E15,F15)</f>
        <v>DI01_System Start PB</v>
      </c>
      <c r="H15" s="65" t="s">
        <v>179</v>
      </c>
      <c r="I15" s="65"/>
      <c r="J15" s="64">
        <v>1</v>
      </c>
      <c r="K15" s="64" t="s">
        <v>180</v>
      </c>
      <c r="L15" s="64"/>
      <c r="M15" s="64" t="s">
        <v>451</v>
      </c>
      <c r="N15" s="65" t="s">
        <v>452</v>
      </c>
      <c r="O15" s="65" t="str">
        <f t="shared" si="1"/>
        <v xml:space="preserve">DO01_Dryer Tower Lamp Red </v>
      </c>
      <c r="P15" s="65" t="s">
        <v>183</v>
      </c>
      <c r="Q15" s="149"/>
    </row>
    <row r="16" spans="1:17" ht="15.75">
      <c r="A16" s="63">
        <v>2</v>
      </c>
      <c r="B16" s="64" t="s">
        <v>184</v>
      </c>
      <c r="C16" s="64"/>
      <c r="D16" s="64" t="s">
        <v>453</v>
      </c>
      <c r="E16" s="64" t="s">
        <v>130</v>
      </c>
      <c r="F16" s="31" t="s">
        <v>186</v>
      </c>
      <c r="G16" s="65" t="str">
        <f t="shared" si="2"/>
        <v>DI02_System Stop PB</v>
      </c>
      <c r="H16" s="65" t="s">
        <v>187</v>
      </c>
      <c r="I16" s="65"/>
      <c r="J16" s="64">
        <v>2</v>
      </c>
      <c r="K16" s="64" t="s">
        <v>188</v>
      </c>
      <c r="L16" s="64"/>
      <c r="M16" s="64" t="s">
        <v>454</v>
      </c>
      <c r="N16" s="65" t="s">
        <v>455</v>
      </c>
      <c r="O16" s="65" t="str">
        <f t="shared" si="1"/>
        <v>DO02_Dryer Tower Lamp Amber</v>
      </c>
      <c r="P16" s="65" t="s">
        <v>183</v>
      </c>
      <c r="Q16" s="149"/>
    </row>
    <row r="17" spans="1:17" ht="15.75">
      <c r="A17" s="63">
        <v>3</v>
      </c>
      <c r="B17" s="64" t="s">
        <v>191</v>
      </c>
      <c r="C17" s="64"/>
      <c r="D17" s="64" t="s">
        <v>456</v>
      </c>
      <c r="E17" s="64" t="s">
        <v>130</v>
      </c>
      <c r="F17" s="31" t="s">
        <v>193</v>
      </c>
      <c r="G17" s="65" t="str">
        <f t="shared" si="2"/>
        <v>DI03_System Reset PB</v>
      </c>
      <c r="H17" s="65" t="s">
        <v>179</v>
      </c>
      <c r="I17" s="65"/>
      <c r="J17" s="64">
        <v>3</v>
      </c>
      <c r="K17" s="64" t="s">
        <v>194</v>
      </c>
      <c r="L17" s="64"/>
      <c r="M17" s="64" t="s">
        <v>457</v>
      </c>
      <c r="N17" s="65" t="s">
        <v>458</v>
      </c>
      <c r="O17" s="65" t="str">
        <f t="shared" si="1"/>
        <v>DO03_Dryer Tower Lamp Green</v>
      </c>
      <c r="P17" s="65" t="s">
        <v>183</v>
      </c>
      <c r="Q17" s="149"/>
    </row>
    <row r="18" spans="1:17" ht="15.75">
      <c r="A18" s="63">
        <v>4</v>
      </c>
      <c r="B18" s="64" t="s">
        <v>197</v>
      </c>
      <c r="C18" s="64"/>
      <c r="D18" s="64" t="s">
        <v>459</v>
      </c>
      <c r="E18" s="64" t="s">
        <v>130</v>
      </c>
      <c r="F18" s="31" t="s">
        <v>199</v>
      </c>
      <c r="G18" s="65" t="str">
        <f t="shared" si="2"/>
        <v>DI04_Safety Reset PB</v>
      </c>
      <c r="H18" s="65" t="s">
        <v>179</v>
      </c>
      <c r="I18" s="65"/>
      <c r="J18" s="64">
        <v>4</v>
      </c>
      <c r="K18" s="64" t="s">
        <v>200</v>
      </c>
      <c r="L18" s="64"/>
      <c r="M18" s="64" t="s">
        <v>460</v>
      </c>
      <c r="N18" s="65" t="s">
        <v>461</v>
      </c>
      <c r="O18" s="65" t="str">
        <f t="shared" si="1"/>
        <v>DO04_Dryer Tower Lamp Buzzer</v>
      </c>
      <c r="P18" s="65" t="s">
        <v>183</v>
      </c>
      <c r="Q18" s="149"/>
    </row>
    <row r="19" spans="1:17" ht="15.75">
      <c r="A19" s="63">
        <v>5</v>
      </c>
      <c r="B19" s="64" t="s">
        <v>203</v>
      </c>
      <c r="C19" s="64"/>
      <c r="D19" s="64" t="s">
        <v>462</v>
      </c>
      <c r="E19" s="64" t="s">
        <v>130</v>
      </c>
      <c r="F19" s="31" t="s">
        <v>205</v>
      </c>
      <c r="G19" s="65" t="str">
        <f t="shared" si="2"/>
        <v>DI05_Spare DI</v>
      </c>
      <c r="H19" s="65"/>
      <c r="I19" s="65"/>
      <c r="J19" s="64">
        <v>5</v>
      </c>
      <c r="K19" s="64" t="s">
        <v>206</v>
      </c>
      <c r="L19" s="64"/>
      <c r="M19" s="64" t="s">
        <v>463</v>
      </c>
      <c r="N19" s="65" t="s">
        <v>464</v>
      </c>
      <c r="O19" s="65" t="str">
        <f t="shared" si="1"/>
        <v>DO05_Dryer System Start PB Green Lamp</v>
      </c>
      <c r="P19" s="65" t="s">
        <v>179</v>
      </c>
      <c r="Q19" s="149"/>
    </row>
    <row r="20" spans="1:17" ht="15.75">
      <c r="A20" s="63">
        <v>6</v>
      </c>
      <c r="B20" s="64" t="s">
        <v>209</v>
      </c>
      <c r="C20" s="64"/>
      <c r="D20" s="64" t="s">
        <v>465</v>
      </c>
      <c r="E20" s="64" t="s">
        <v>130</v>
      </c>
      <c r="F20" s="31" t="s">
        <v>205</v>
      </c>
      <c r="G20" s="65" t="str">
        <f t="shared" si="2"/>
        <v>DI06_Spare DI</v>
      </c>
      <c r="H20" s="109"/>
      <c r="I20" s="65"/>
      <c r="J20" s="64">
        <v>6</v>
      </c>
      <c r="K20" s="64" t="s">
        <v>211</v>
      </c>
      <c r="L20" s="64"/>
      <c r="M20" s="64" t="s">
        <v>466</v>
      </c>
      <c r="N20" s="65" t="s">
        <v>467</v>
      </c>
      <c r="O20" s="65" t="str">
        <f t="shared" si="1"/>
        <v>DO06_Dryer System Reset PB Blue Lamp</v>
      </c>
      <c r="P20" s="65" t="s">
        <v>179</v>
      </c>
      <c r="Q20" s="149"/>
    </row>
    <row r="21" spans="1:17" ht="15.75">
      <c r="A21" s="63">
        <v>7</v>
      </c>
      <c r="B21" s="64" t="s">
        <v>214</v>
      </c>
      <c r="C21" s="64"/>
      <c r="D21" s="64" t="s">
        <v>468</v>
      </c>
      <c r="E21" s="64" t="s">
        <v>130</v>
      </c>
      <c r="F21" s="31" t="s">
        <v>216</v>
      </c>
      <c r="G21" s="65" t="str">
        <f t="shared" si="2"/>
        <v>DI07_3 Phase Supply Ok</v>
      </c>
      <c r="H21" s="65" t="s">
        <v>217</v>
      </c>
      <c r="I21" s="65"/>
      <c r="J21" s="64">
        <v>7</v>
      </c>
      <c r="K21" s="64" t="s">
        <v>218</v>
      </c>
      <c r="L21" s="64"/>
      <c r="M21" s="64" t="s">
        <v>469</v>
      </c>
      <c r="N21" s="65" t="s">
        <v>470</v>
      </c>
      <c r="O21" s="65" t="str">
        <f t="shared" si="1"/>
        <v>DO07_Dryer System Safety Reset PB Yellow Lamp</v>
      </c>
      <c r="P21" s="65" t="s">
        <v>179</v>
      </c>
      <c r="Q21" s="149"/>
    </row>
    <row r="22" spans="1:17" ht="15.75">
      <c r="A22" s="63">
        <v>8</v>
      </c>
      <c r="B22" s="64" t="s">
        <v>221</v>
      </c>
      <c r="C22" s="64"/>
      <c r="D22" s="64" t="s">
        <v>471</v>
      </c>
      <c r="E22" s="64" t="s">
        <v>130</v>
      </c>
      <c r="F22" s="31" t="s">
        <v>472</v>
      </c>
      <c r="G22" s="65" t="str">
        <f t="shared" si="2"/>
        <v xml:space="preserve">DI08_Dryer Air Pressure </v>
      </c>
      <c r="H22" s="65" t="s">
        <v>224</v>
      </c>
      <c r="I22" s="65"/>
      <c r="J22" s="64">
        <v>8</v>
      </c>
      <c r="K22" s="64" t="s">
        <v>225</v>
      </c>
      <c r="L22" s="64"/>
      <c r="M22" s="64" t="s">
        <v>473</v>
      </c>
      <c r="N22" s="65" t="s">
        <v>227</v>
      </c>
      <c r="O22" s="65" t="str">
        <f t="shared" si="1"/>
        <v>DO08_Spare DO</v>
      </c>
      <c r="P22" s="65"/>
      <c r="Q22" s="149"/>
    </row>
    <row r="23" spans="1:17" ht="15.75">
      <c r="A23" s="63">
        <v>9</v>
      </c>
      <c r="B23" s="64" t="s">
        <v>228</v>
      </c>
      <c r="C23" s="64"/>
      <c r="D23" s="64" t="s">
        <v>474</v>
      </c>
      <c r="E23" s="64" t="s">
        <v>130</v>
      </c>
      <c r="F23" s="31" t="s">
        <v>205</v>
      </c>
      <c r="G23" s="65" t="str">
        <f t="shared" si="2"/>
        <v>DI09_Spare DI</v>
      </c>
      <c r="H23" s="65"/>
      <c r="I23" s="65"/>
      <c r="J23" s="64">
        <v>9</v>
      </c>
      <c r="K23" s="64" t="s">
        <v>232</v>
      </c>
      <c r="L23" s="64"/>
      <c r="M23" s="64" t="s">
        <v>475</v>
      </c>
      <c r="N23" s="31" t="s">
        <v>476</v>
      </c>
      <c r="O23" s="65" t="str">
        <f t="shared" si="1"/>
        <v>DO09_Dryer Outlet Vibratory feeder-1 Enable</v>
      </c>
      <c r="P23" s="65" t="s">
        <v>477</v>
      </c>
      <c r="Q23" s="149"/>
    </row>
    <row r="24" spans="1:17" ht="15.75">
      <c r="A24" s="63">
        <v>10</v>
      </c>
      <c r="B24" s="64" t="s">
        <v>235</v>
      </c>
      <c r="C24" s="64"/>
      <c r="D24" s="64" t="s">
        <v>478</v>
      </c>
      <c r="E24" s="64" t="s">
        <v>130</v>
      </c>
      <c r="F24" s="31" t="s">
        <v>205</v>
      </c>
      <c r="G24" s="65" t="str">
        <f t="shared" si="2"/>
        <v>DI10_Spare DI</v>
      </c>
      <c r="H24" s="65"/>
      <c r="I24" s="65"/>
      <c r="J24" s="64">
        <v>10</v>
      </c>
      <c r="K24" s="64" t="s">
        <v>238</v>
      </c>
      <c r="L24" s="64"/>
      <c r="M24" s="64" t="s">
        <v>479</v>
      </c>
      <c r="N24" s="31" t="s">
        <v>480</v>
      </c>
      <c r="O24" s="65" t="str">
        <f t="shared" si="1"/>
        <v>DO10_Dryer Outlet Vibratory feeder-2 Enable</v>
      </c>
      <c r="P24" s="65" t="s">
        <v>477</v>
      </c>
      <c r="Q24" s="149"/>
    </row>
    <row r="25" spans="1:17" ht="15.75">
      <c r="A25" s="63">
        <v>11</v>
      </c>
      <c r="B25" s="64" t="s">
        <v>241</v>
      </c>
      <c r="C25" s="64"/>
      <c r="D25" s="64" t="s">
        <v>481</v>
      </c>
      <c r="E25" s="64" t="s">
        <v>130</v>
      </c>
      <c r="F25" s="31" t="s">
        <v>205</v>
      </c>
      <c r="G25" s="65" t="str">
        <f t="shared" si="2"/>
        <v>DI11_Spare DI</v>
      </c>
      <c r="H25" s="65"/>
      <c r="I25" s="65"/>
      <c r="J25" s="64">
        <v>11</v>
      </c>
      <c r="K25" s="64" t="s">
        <v>244</v>
      </c>
      <c r="L25" s="64"/>
      <c r="M25" s="64" t="s">
        <v>482</v>
      </c>
      <c r="N25" s="65" t="s">
        <v>483</v>
      </c>
      <c r="O25" s="65" t="str">
        <f t="shared" si="1"/>
        <v>DO11_Dryer Heating Zone Dust Collector PV01</v>
      </c>
      <c r="P25" s="65" t="s">
        <v>484</v>
      </c>
      <c r="Q25" s="149"/>
    </row>
    <row r="26" spans="1:17" ht="15.75">
      <c r="A26" s="63">
        <v>12</v>
      </c>
      <c r="B26" s="64" t="s">
        <v>247</v>
      </c>
      <c r="C26" s="64"/>
      <c r="D26" s="64" t="s">
        <v>485</v>
      </c>
      <c r="E26" s="64" t="s">
        <v>130</v>
      </c>
      <c r="F26" s="31" t="s">
        <v>205</v>
      </c>
      <c r="G26" s="65" t="str">
        <f t="shared" si="2"/>
        <v>DI12_Spare DI</v>
      </c>
      <c r="H26" s="65"/>
      <c r="I26" s="65"/>
      <c r="J26" s="64">
        <v>12</v>
      </c>
      <c r="K26" s="64" t="s">
        <v>249</v>
      </c>
      <c r="L26" s="64"/>
      <c r="M26" s="64" t="s">
        <v>486</v>
      </c>
      <c r="N26" s="65" t="s">
        <v>487</v>
      </c>
      <c r="O26" s="65" t="str">
        <f t="shared" si="1"/>
        <v>DO12_Dryer Heating Zone Dust Collector PV02</v>
      </c>
      <c r="P26" s="65" t="s">
        <v>484</v>
      </c>
      <c r="Q26" s="149"/>
    </row>
    <row r="27" spans="1:17" ht="15.75">
      <c r="A27" s="63">
        <v>13</v>
      </c>
      <c r="B27" s="64" t="s">
        <v>252</v>
      </c>
      <c r="C27" s="64"/>
      <c r="D27" s="64" t="s">
        <v>488</v>
      </c>
      <c r="E27" s="64" t="s">
        <v>130</v>
      </c>
      <c r="F27" s="31" t="s">
        <v>489</v>
      </c>
      <c r="G27" s="65" t="str">
        <f t="shared" si="2"/>
        <v>DI13_Dryer Heating Zone Inlet Blower Disconnector FB</v>
      </c>
      <c r="H27" s="65" t="s">
        <v>490</v>
      </c>
      <c r="I27" s="65"/>
      <c r="J27" s="64">
        <v>13</v>
      </c>
      <c r="K27" s="64" t="s">
        <v>255</v>
      </c>
      <c r="L27" s="64"/>
      <c r="M27" s="64" t="s">
        <v>491</v>
      </c>
      <c r="N27" s="65" t="s">
        <v>492</v>
      </c>
      <c r="O27" s="65" t="str">
        <f t="shared" si="1"/>
        <v>DO13_Dryer Heating Zone Dust Collector PV03</v>
      </c>
      <c r="P27" s="65" t="s">
        <v>484</v>
      </c>
      <c r="Q27" s="149"/>
    </row>
    <row r="28" spans="1:17" ht="15.75">
      <c r="A28" s="63">
        <v>14</v>
      </c>
      <c r="B28" s="64" t="s">
        <v>258</v>
      </c>
      <c r="C28" s="64"/>
      <c r="D28" s="64" t="s">
        <v>493</v>
      </c>
      <c r="E28" s="64" t="s">
        <v>130</v>
      </c>
      <c r="F28" s="31" t="s">
        <v>494</v>
      </c>
      <c r="G28" s="65" t="str">
        <f t="shared" si="2"/>
        <v>DI14_Dryer Heating Zone Dust Collector Disconnector FB</v>
      </c>
      <c r="H28" s="65" t="s">
        <v>490</v>
      </c>
      <c r="I28" s="65"/>
      <c r="J28" s="64">
        <v>14</v>
      </c>
      <c r="K28" s="64" t="s">
        <v>261</v>
      </c>
      <c r="L28" s="64"/>
      <c r="M28" s="64" t="s">
        <v>495</v>
      </c>
      <c r="N28" s="31" t="s">
        <v>496</v>
      </c>
      <c r="O28" s="65" t="str">
        <f t="shared" si="1"/>
        <v>DO14_Dryer Cooling Zone Dust Collector PV01</v>
      </c>
      <c r="P28" s="65" t="s">
        <v>484</v>
      </c>
      <c r="Q28" s="149"/>
    </row>
    <row r="29" spans="1:17" ht="15.75">
      <c r="A29" s="63">
        <v>15</v>
      </c>
      <c r="B29" s="64" t="s">
        <v>264</v>
      </c>
      <c r="C29" s="64"/>
      <c r="D29" s="64" t="s">
        <v>497</v>
      </c>
      <c r="E29" s="64" t="s">
        <v>130</v>
      </c>
      <c r="F29" s="31" t="s">
        <v>498</v>
      </c>
      <c r="G29" s="65" t="str">
        <f t="shared" si="2"/>
        <v>DI15_Dryer Cooling Zone Inlet Blower Disconnector FB</v>
      </c>
      <c r="H29" s="65" t="s">
        <v>490</v>
      </c>
      <c r="I29" s="65"/>
      <c r="J29" s="64">
        <v>15</v>
      </c>
      <c r="K29" s="64" t="s">
        <v>267</v>
      </c>
      <c r="L29" s="64"/>
      <c r="M29" s="64" t="s">
        <v>499</v>
      </c>
      <c r="N29" s="31" t="s">
        <v>500</v>
      </c>
      <c r="O29" s="65" t="str">
        <f t="shared" si="1"/>
        <v>DO15_Dryer Cooling Zone Dust Collector PV02</v>
      </c>
      <c r="P29" s="65" t="s">
        <v>484</v>
      </c>
      <c r="Q29" s="149"/>
    </row>
    <row r="30" spans="1:17" ht="15.75">
      <c r="A30" s="63">
        <v>16</v>
      </c>
      <c r="B30" s="64" t="s">
        <v>270</v>
      </c>
      <c r="C30" s="64"/>
      <c r="D30" s="64" t="s">
        <v>501</v>
      </c>
      <c r="E30" s="64" t="s">
        <v>130</v>
      </c>
      <c r="F30" s="31" t="s">
        <v>502</v>
      </c>
      <c r="G30" s="65" t="str">
        <f t="shared" si="2"/>
        <v>DI16_Dryer Cooling Zone Dust Collector Disconnector FB</v>
      </c>
      <c r="H30" s="65" t="s">
        <v>490</v>
      </c>
      <c r="I30" s="65"/>
      <c r="J30" s="64">
        <v>16</v>
      </c>
      <c r="K30" s="64" t="s">
        <v>272</v>
      </c>
      <c r="L30" s="64"/>
      <c r="M30" s="64" t="s">
        <v>503</v>
      </c>
      <c r="N30" s="31" t="s">
        <v>504</v>
      </c>
      <c r="O30" s="65" t="str">
        <f t="shared" si="1"/>
        <v>DO16_Dryer Cooling Zone Dust Collector PV03</v>
      </c>
      <c r="P30" s="65" t="s">
        <v>484</v>
      </c>
      <c r="Q30" s="149"/>
    </row>
    <row r="31" spans="1:17" ht="15.75">
      <c r="A31" s="63">
        <v>17</v>
      </c>
      <c r="B31" s="64" t="s">
        <v>274</v>
      </c>
      <c r="C31" s="64"/>
      <c r="D31" s="64" t="s">
        <v>505</v>
      </c>
      <c r="E31" s="64" t="s">
        <v>130</v>
      </c>
      <c r="F31" s="31" t="s">
        <v>506</v>
      </c>
      <c r="G31" s="65" t="str">
        <f t="shared" si="2"/>
        <v>DI17_Dryer Conveyor Motor Disconnector FB</v>
      </c>
      <c r="H31" s="65" t="s">
        <v>490</v>
      </c>
      <c r="I31" s="65"/>
      <c r="J31" s="64">
        <v>17</v>
      </c>
      <c r="K31" s="64" t="s">
        <v>278</v>
      </c>
      <c r="L31" s="64"/>
      <c r="M31" s="64" t="s">
        <v>507</v>
      </c>
      <c r="N31" s="65" t="s">
        <v>227</v>
      </c>
      <c r="O31" s="65" t="str">
        <f t="shared" si="1"/>
        <v>DO17_Spare DO</v>
      </c>
      <c r="P31" s="65"/>
      <c r="Q31" s="149"/>
    </row>
    <row r="32" spans="1:17" ht="15.75">
      <c r="A32" s="63">
        <v>18</v>
      </c>
      <c r="B32" s="64" t="s">
        <v>281</v>
      </c>
      <c r="C32" s="64"/>
      <c r="D32" s="64" t="s">
        <v>508</v>
      </c>
      <c r="E32" s="64" t="s">
        <v>130</v>
      </c>
      <c r="F32" s="31" t="s">
        <v>509</v>
      </c>
      <c r="G32" s="65" t="str">
        <f t="shared" si="2"/>
        <v>DI18_Dryer Outlet Vibratory feeder-1 MPCB Healthy</v>
      </c>
      <c r="H32" s="65" t="s">
        <v>387</v>
      </c>
      <c r="I32" s="65"/>
      <c r="J32" s="64">
        <v>18</v>
      </c>
      <c r="K32" s="64" t="s">
        <v>284</v>
      </c>
      <c r="L32" s="64"/>
      <c r="M32" s="64" t="s">
        <v>510</v>
      </c>
      <c r="N32" s="65" t="s">
        <v>227</v>
      </c>
      <c r="O32" s="65" t="str">
        <f t="shared" si="1"/>
        <v>DO18_Spare DO</v>
      </c>
      <c r="P32" s="65"/>
      <c r="Q32" s="149"/>
    </row>
    <row r="33" spans="1:17" ht="15.75">
      <c r="A33" s="63">
        <v>19</v>
      </c>
      <c r="B33" s="64" t="s">
        <v>287</v>
      </c>
      <c r="C33" s="64"/>
      <c r="D33" s="64" t="s">
        <v>511</v>
      </c>
      <c r="E33" s="64" t="s">
        <v>130</v>
      </c>
      <c r="F33" s="31" t="s">
        <v>512</v>
      </c>
      <c r="G33" s="65" t="str">
        <f t="shared" si="2"/>
        <v>DI19_Dryer Outlet Vibratory feeder-2 MPCB Healthy</v>
      </c>
      <c r="H33" s="65" t="s">
        <v>387</v>
      </c>
      <c r="I33" s="65"/>
      <c r="J33" s="64">
        <v>19</v>
      </c>
      <c r="K33" s="64" t="s">
        <v>290</v>
      </c>
      <c r="L33" s="64"/>
      <c r="M33" s="64" t="s">
        <v>513</v>
      </c>
      <c r="N33" s="65" t="s">
        <v>227</v>
      </c>
      <c r="O33" s="65" t="str">
        <f t="shared" si="1"/>
        <v>DO19_Spare DO</v>
      </c>
      <c r="P33" s="65"/>
      <c r="Q33" s="149"/>
    </row>
    <row r="34" spans="1:17" ht="15.75">
      <c r="A34" s="63">
        <v>20</v>
      </c>
      <c r="B34" s="64" t="s">
        <v>293</v>
      </c>
      <c r="C34" s="64"/>
      <c r="D34" s="64" t="s">
        <v>514</v>
      </c>
      <c r="E34" s="64" t="s">
        <v>130</v>
      </c>
      <c r="F34" s="31" t="s">
        <v>515</v>
      </c>
      <c r="G34" s="65" t="str">
        <f t="shared" si="2"/>
        <v>DI20_Gas Burner MPCB Healthy</v>
      </c>
      <c r="H34" s="65" t="s">
        <v>387</v>
      </c>
      <c r="I34" s="65"/>
      <c r="J34" s="64">
        <v>20</v>
      </c>
      <c r="K34" s="64" t="s">
        <v>296</v>
      </c>
      <c r="L34" s="64"/>
      <c r="M34" s="64" t="s">
        <v>516</v>
      </c>
      <c r="N34" s="65" t="s">
        <v>227</v>
      </c>
      <c r="O34" s="65" t="str">
        <f t="shared" si="1"/>
        <v>DO20_Spare DO</v>
      </c>
      <c r="P34" s="65"/>
      <c r="Q34" s="149"/>
    </row>
    <row r="35" spans="1:17" ht="15.75">
      <c r="A35" s="63">
        <v>21</v>
      </c>
      <c r="B35" s="64" t="s">
        <v>299</v>
      </c>
      <c r="C35" s="64"/>
      <c r="D35" s="64" t="s">
        <v>517</v>
      </c>
      <c r="E35" s="64" t="s">
        <v>130</v>
      </c>
      <c r="F35" s="31" t="s">
        <v>518</v>
      </c>
      <c r="G35" s="65" t="str">
        <f t="shared" si="2"/>
        <v>DI21_Dryer Outlet Vibratory feeder-1 Disconnector FB</v>
      </c>
      <c r="H35" s="65" t="s">
        <v>490</v>
      </c>
      <c r="I35" s="65"/>
      <c r="J35" s="64">
        <v>21</v>
      </c>
      <c r="K35" s="64" t="s">
        <v>302</v>
      </c>
      <c r="L35" s="64"/>
      <c r="M35" s="64" t="s">
        <v>519</v>
      </c>
      <c r="N35" s="65" t="s">
        <v>520</v>
      </c>
      <c r="O35" s="65" t="str">
        <f t="shared" si="1"/>
        <v>DO21_Gas Burner Enable</v>
      </c>
      <c r="P35" s="65" t="s">
        <v>521</v>
      </c>
      <c r="Q35" s="149"/>
    </row>
    <row r="36" spans="1:17" ht="15.75">
      <c r="A36" s="63">
        <v>22</v>
      </c>
      <c r="B36" s="64" t="s">
        <v>305</v>
      </c>
      <c r="C36" s="64"/>
      <c r="D36" s="64" t="s">
        <v>522</v>
      </c>
      <c r="E36" s="64" t="s">
        <v>130</v>
      </c>
      <c r="F36" s="31" t="s">
        <v>523</v>
      </c>
      <c r="G36" s="65" t="str">
        <f t="shared" si="2"/>
        <v>DI22_Dryer Outlet Vibratory feeder-2 Disconnector FB</v>
      </c>
      <c r="H36" s="65" t="s">
        <v>490</v>
      </c>
      <c r="I36" s="65"/>
      <c r="J36" s="64">
        <v>22</v>
      </c>
      <c r="K36" s="64" t="s">
        <v>308</v>
      </c>
      <c r="L36" s="64"/>
      <c r="M36" s="64" t="s">
        <v>524</v>
      </c>
      <c r="N36" s="65" t="s">
        <v>227</v>
      </c>
      <c r="O36" s="65" t="str">
        <f t="shared" si="1"/>
        <v>DO22_Spare DO</v>
      </c>
      <c r="P36" s="65"/>
      <c r="Q36" s="149"/>
    </row>
    <row r="37" spans="1:17" ht="15.75">
      <c r="A37" s="63">
        <v>23</v>
      </c>
      <c r="B37" s="64" t="s">
        <v>311</v>
      </c>
      <c r="C37" s="64"/>
      <c r="D37" s="64" t="s">
        <v>525</v>
      </c>
      <c r="E37" s="64" t="s">
        <v>130</v>
      </c>
      <c r="F37" s="31" t="s">
        <v>526</v>
      </c>
      <c r="G37" s="65" t="str">
        <f t="shared" si="2"/>
        <v>DI23_Gas Burner Disconnector FB</v>
      </c>
      <c r="H37" s="65" t="s">
        <v>490</v>
      </c>
      <c r="I37" s="65"/>
      <c r="J37" s="64">
        <v>23</v>
      </c>
      <c r="K37" s="64" t="s">
        <v>313</v>
      </c>
      <c r="L37" s="64"/>
      <c r="M37" s="64" t="s">
        <v>527</v>
      </c>
      <c r="N37" s="65" t="s">
        <v>227</v>
      </c>
      <c r="O37" s="65" t="str">
        <f t="shared" si="1"/>
        <v>DO23_Spare DO</v>
      </c>
      <c r="P37" s="65"/>
      <c r="Q37" s="149"/>
    </row>
    <row r="38" spans="1:17" ht="15.75">
      <c r="A38" s="63">
        <v>24</v>
      </c>
      <c r="B38" s="64" t="s">
        <v>316</v>
      </c>
      <c r="C38" s="64"/>
      <c r="D38" s="64" t="s">
        <v>528</v>
      </c>
      <c r="E38" s="64" t="s">
        <v>130</v>
      </c>
      <c r="F38" s="31" t="s">
        <v>205</v>
      </c>
      <c r="G38" s="65" t="str">
        <f t="shared" si="2"/>
        <v>DI24_Spare DI</v>
      </c>
      <c r="H38" s="65"/>
      <c r="I38" s="65"/>
      <c r="J38" s="64">
        <v>24</v>
      </c>
      <c r="K38" s="64" t="s">
        <v>318</v>
      </c>
      <c r="L38" s="64"/>
      <c r="M38" s="64" t="s">
        <v>529</v>
      </c>
      <c r="N38" s="65" t="s">
        <v>227</v>
      </c>
      <c r="O38" s="65" t="str">
        <f t="shared" si="1"/>
        <v>DO24_Spare DO</v>
      </c>
      <c r="P38" s="65"/>
      <c r="Q38" s="149"/>
    </row>
    <row r="39" spans="1:17" ht="15.75">
      <c r="A39" s="63">
        <v>25</v>
      </c>
      <c r="B39" s="64" t="s">
        <v>320</v>
      </c>
      <c r="C39" s="64"/>
      <c r="D39" s="64" t="s">
        <v>530</v>
      </c>
      <c r="E39" s="64" t="s">
        <v>130</v>
      </c>
      <c r="F39" s="31" t="s">
        <v>531</v>
      </c>
      <c r="G39" s="65" t="str">
        <f t="shared" si="2"/>
        <v>DI25_Gas Burner Healthy FB</v>
      </c>
      <c r="H39" s="65" t="s">
        <v>521</v>
      </c>
      <c r="I39" s="65"/>
      <c r="J39" s="64">
        <v>25</v>
      </c>
      <c r="K39" s="64" t="s">
        <v>323</v>
      </c>
      <c r="L39" s="64"/>
      <c r="M39" s="64" t="s">
        <v>532</v>
      </c>
      <c r="N39" s="65" t="s">
        <v>227</v>
      </c>
      <c r="O39" s="65" t="str">
        <f t="shared" si="1"/>
        <v>DO25_Spare DO</v>
      </c>
      <c r="P39" s="65"/>
      <c r="Q39" s="149"/>
    </row>
    <row r="40" spans="1:17" ht="15.75">
      <c r="A40" s="63">
        <v>26</v>
      </c>
      <c r="B40" s="64" t="s">
        <v>326</v>
      </c>
      <c r="C40" s="64"/>
      <c r="D40" s="64" t="s">
        <v>533</v>
      </c>
      <c r="E40" s="64" t="s">
        <v>130</v>
      </c>
      <c r="F40" s="31" t="s">
        <v>205</v>
      </c>
      <c r="G40" s="65" t="str">
        <f t="shared" si="2"/>
        <v>DI26_Spare DI</v>
      </c>
      <c r="H40" s="65"/>
      <c r="I40" s="65"/>
      <c r="J40" s="64">
        <v>26</v>
      </c>
      <c r="K40" s="64" t="s">
        <v>329</v>
      </c>
      <c r="L40" s="64"/>
      <c r="M40" s="64" t="s">
        <v>534</v>
      </c>
      <c r="N40" s="65" t="s">
        <v>227</v>
      </c>
      <c r="O40" s="65" t="str">
        <f t="shared" si="1"/>
        <v>DO26_Spare DO</v>
      </c>
      <c r="P40" s="65"/>
      <c r="Q40" s="149"/>
    </row>
    <row r="41" spans="1:17" ht="15.75">
      <c r="A41" s="63">
        <v>27</v>
      </c>
      <c r="B41" s="64" t="s">
        <v>332</v>
      </c>
      <c r="C41" s="64"/>
      <c r="D41" s="64" t="s">
        <v>535</v>
      </c>
      <c r="E41" s="64" t="s">
        <v>130</v>
      </c>
      <c r="F41" s="65" t="s">
        <v>536</v>
      </c>
      <c r="G41" s="65" t="str">
        <f t="shared" si="2"/>
        <v>DI27_Dryer Heating Zone Dust Collector Level High</v>
      </c>
      <c r="H41" s="65" t="s">
        <v>537</v>
      </c>
      <c r="I41" s="65"/>
      <c r="J41" s="64">
        <v>27</v>
      </c>
      <c r="K41" s="64" t="s">
        <v>335</v>
      </c>
      <c r="L41" s="64"/>
      <c r="M41" s="64" t="s">
        <v>538</v>
      </c>
      <c r="N41" s="65" t="s">
        <v>227</v>
      </c>
      <c r="O41" s="65" t="str">
        <f t="shared" si="1"/>
        <v>DO27_Spare DO</v>
      </c>
      <c r="P41" s="65"/>
      <c r="Q41" s="149"/>
    </row>
    <row r="42" spans="1:17" ht="15.75">
      <c r="A42" s="63">
        <v>28</v>
      </c>
      <c r="B42" s="64" t="s">
        <v>337</v>
      </c>
      <c r="C42" s="64"/>
      <c r="D42" s="64" t="s">
        <v>539</v>
      </c>
      <c r="E42" s="64" t="s">
        <v>130</v>
      </c>
      <c r="F42" s="31" t="s">
        <v>540</v>
      </c>
      <c r="G42" s="65" t="str">
        <f t="shared" si="2"/>
        <v>DI28_Dryer Cooling Zone Dust Collector Level High</v>
      </c>
      <c r="H42" s="65" t="s">
        <v>537</v>
      </c>
      <c r="I42" s="65"/>
      <c r="J42" s="64">
        <v>28</v>
      </c>
      <c r="K42" s="64" t="s">
        <v>340</v>
      </c>
      <c r="L42" s="64"/>
      <c r="M42" s="64" t="s">
        <v>541</v>
      </c>
      <c r="N42" s="65" t="s">
        <v>227</v>
      </c>
      <c r="O42" s="65" t="str">
        <f t="shared" si="1"/>
        <v>DO28_Spare DO</v>
      </c>
      <c r="P42" s="65"/>
      <c r="Q42" s="149"/>
    </row>
    <row r="43" spans="1:17" ht="15.75">
      <c r="A43" s="63">
        <v>29</v>
      </c>
      <c r="B43" s="64" t="s">
        <v>342</v>
      </c>
      <c r="C43" s="64"/>
      <c r="D43" s="64" t="s">
        <v>542</v>
      </c>
      <c r="E43" s="64" t="s">
        <v>130</v>
      </c>
      <c r="F43" s="31" t="s">
        <v>205</v>
      </c>
      <c r="G43" s="65" t="str">
        <f t="shared" si="2"/>
        <v>DI29_Spare DI</v>
      </c>
      <c r="H43" s="65"/>
      <c r="I43" s="65"/>
      <c r="J43" s="64">
        <v>29</v>
      </c>
      <c r="K43" s="64" t="s">
        <v>345</v>
      </c>
      <c r="L43" s="64"/>
      <c r="M43" s="64" t="s">
        <v>543</v>
      </c>
      <c r="N43" s="65" t="s">
        <v>227</v>
      </c>
      <c r="O43" s="65" t="str">
        <f t="shared" si="1"/>
        <v>DO29_Spare DO</v>
      </c>
      <c r="P43" s="65"/>
      <c r="Q43" s="149"/>
    </row>
    <row r="44" spans="1:17" ht="15.75">
      <c r="A44" s="63">
        <v>30</v>
      </c>
      <c r="B44" s="64" t="s">
        <v>347</v>
      </c>
      <c r="C44" s="64"/>
      <c r="D44" s="64" t="s">
        <v>544</v>
      </c>
      <c r="E44" s="64" t="s">
        <v>130</v>
      </c>
      <c r="F44" s="31" t="s">
        <v>205</v>
      </c>
      <c r="G44" s="65" t="str">
        <f t="shared" si="2"/>
        <v>DI30_Spare DI</v>
      </c>
      <c r="H44" s="65"/>
      <c r="I44" s="65"/>
      <c r="J44" s="64">
        <v>30</v>
      </c>
      <c r="K44" s="64" t="s">
        <v>350</v>
      </c>
      <c r="L44" s="64"/>
      <c r="M44" s="64" t="s">
        <v>545</v>
      </c>
      <c r="N44" s="65" t="s">
        <v>227</v>
      </c>
      <c r="O44" s="65" t="str">
        <f t="shared" si="1"/>
        <v>DO30_Spare DO</v>
      </c>
      <c r="P44" s="65"/>
      <c r="Q44" s="149"/>
    </row>
    <row r="45" spans="1:17" ht="15.75">
      <c r="A45" s="63">
        <v>31</v>
      </c>
      <c r="B45" s="64" t="s">
        <v>352</v>
      </c>
      <c r="C45" s="64"/>
      <c r="D45" s="64" t="s">
        <v>546</v>
      </c>
      <c r="E45" s="64" t="s">
        <v>130</v>
      </c>
      <c r="F45" s="31" t="s">
        <v>205</v>
      </c>
      <c r="G45" s="65" t="str">
        <f t="shared" si="2"/>
        <v>DI31_Spare DI</v>
      </c>
      <c r="H45" s="65"/>
      <c r="I45" s="65"/>
      <c r="J45" s="64">
        <v>31</v>
      </c>
      <c r="K45" s="64" t="s">
        <v>354</v>
      </c>
      <c r="L45" s="64"/>
      <c r="M45" s="64" t="s">
        <v>547</v>
      </c>
      <c r="N45" s="65" t="s">
        <v>227</v>
      </c>
      <c r="O45" s="65" t="str">
        <f t="shared" si="1"/>
        <v>DO31_Spare DO</v>
      </c>
      <c r="P45" s="65"/>
      <c r="Q45" s="149"/>
    </row>
    <row r="46" spans="1:17" ht="16.5" thickBot="1">
      <c r="A46" s="118">
        <v>32</v>
      </c>
      <c r="B46" s="115" t="s">
        <v>356</v>
      </c>
      <c r="C46" s="115"/>
      <c r="D46" s="115" t="s">
        <v>548</v>
      </c>
      <c r="E46" s="115" t="s">
        <v>130</v>
      </c>
      <c r="F46" s="78" t="s">
        <v>205</v>
      </c>
      <c r="G46" s="119" t="str">
        <f t="shared" si="2"/>
        <v>DI32_Spare DI</v>
      </c>
      <c r="H46" s="119"/>
      <c r="I46" s="119"/>
      <c r="J46" s="115">
        <v>32</v>
      </c>
      <c r="K46" s="115" t="s">
        <v>358</v>
      </c>
      <c r="L46" s="115"/>
      <c r="M46" s="115" t="s">
        <v>549</v>
      </c>
      <c r="N46" s="119" t="s">
        <v>227</v>
      </c>
      <c r="O46" s="119" t="str">
        <f t="shared" si="1"/>
        <v>DO32_Spare DO</v>
      </c>
      <c r="P46" s="119"/>
      <c r="Q46" s="150"/>
    </row>
    <row r="47" spans="1:17" ht="15.75">
      <c r="A47" s="126" t="s">
        <v>116</v>
      </c>
      <c r="B47" s="127" t="s">
        <v>117</v>
      </c>
      <c r="C47" s="127" t="s">
        <v>118</v>
      </c>
      <c r="D47" s="128" t="s">
        <v>119</v>
      </c>
      <c r="E47" s="128"/>
      <c r="F47" s="129" t="s">
        <v>120</v>
      </c>
      <c r="G47" s="129" t="s">
        <v>121</v>
      </c>
      <c r="H47" s="129" t="s">
        <v>17</v>
      </c>
      <c r="I47" s="129" t="s">
        <v>122</v>
      </c>
      <c r="J47" s="127" t="s">
        <v>116</v>
      </c>
      <c r="K47" s="127" t="s">
        <v>123</v>
      </c>
      <c r="L47" s="127" t="s">
        <v>118</v>
      </c>
      <c r="M47" s="128" t="s">
        <v>119</v>
      </c>
      <c r="N47" s="130" t="s">
        <v>124</v>
      </c>
      <c r="O47" s="129" t="s">
        <v>125</v>
      </c>
      <c r="P47" s="129" t="s">
        <v>17</v>
      </c>
      <c r="Q47" s="151" t="s">
        <v>122</v>
      </c>
    </row>
    <row r="48" spans="1:17" ht="16.5" thickBot="1">
      <c r="A48" s="152"/>
      <c r="B48" s="153"/>
      <c r="C48" s="153"/>
      <c r="D48" s="154"/>
      <c r="E48" s="154"/>
      <c r="F48" s="155" t="s">
        <v>550</v>
      </c>
      <c r="G48" s="155" t="s">
        <v>121</v>
      </c>
      <c r="H48" s="155"/>
      <c r="I48" s="155"/>
      <c r="J48" s="156"/>
      <c r="K48" s="157"/>
      <c r="L48" s="157"/>
      <c r="M48" s="158"/>
      <c r="N48" s="158" t="s">
        <v>551</v>
      </c>
      <c r="O48" s="158"/>
      <c r="P48" s="158"/>
      <c r="Q48" s="159"/>
    </row>
    <row r="49" spans="1:17" ht="15.75">
      <c r="A49" s="59">
        <v>1</v>
      </c>
      <c r="B49" s="60" t="s">
        <v>552</v>
      </c>
      <c r="C49" s="60"/>
      <c r="D49" s="60" t="s">
        <v>553</v>
      </c>
      <c r="E49" s="60" t="s">
        <v>130</v>
      </c>
      <c r="F49" s="27" t="s">
        <v>554</v>
      </c>
      <c r="G49" s="61" t="str">
        <f t="shared" ref="G49:G60" si="3">CONCATENATE(B49,E49,F49)</f>
        <v xml:space="preserve">AI01_Gas Burner Inlet Temperature </v>
      </c>
      <c r="H49" s="61" t="s">
        <v>555</v>
      </c>
      <c r="I49" s="61"/>
      <c r="J49" s="60">
        <v>1</v>
      </c>
      <c r="K49" s="60" t="s">
        <v>556</v>
      </c>
      <c r="L49" s="60"/>
      <c r="M49" s="60" t="s">
        <v>557</v>
      </c>
      <c r="N49" s="61" t="s">
        <v>558</v>
      </c>
      <c r="O49" s="61" t="str">
        <f xml:space="preserve"> CONCATENATE(K49,E49,N49)</f>
        <v>AO01_Gas Burner Flame Control Signal</v>
      </c>
      <c r="P49" s="61" t="s">
        <v>559</v>
      </c>
      <c r="Q49" s="62"/>
    </row>
    <row r="50" spans="1:17" ht="15.75">
      <c r="A50" s="63">
        <v>2</v>
      </c>
      <c r="B50" s="64" t="s">
        <v>560</v>
      </c>
      <c r="C50" s="64"/>
      <c r="D50" s="64" t="s">
        <v>561</v>
      </c>
      <c r="E50" s="64" t="s">
        <v>130</v>
      </c>
      <c r="F50" s="31" t="s">
        <v>562</v>
      </c>
      <c r="G50" s="65" t="str">
        <f t="shared" si="3"/>
        <v xml:space="preserve">AI02_Gas Burner Outlet Temperature </v>
      </c>
      <c r="H50" s="65" t="s">
        <v>555</v>
      </c>
      <c r="I50" s="65"/>
      <c r="J50" s="64">
        <v>2</v>
      </c>
      <c r="K50" s="64" t="s">
        <v>563</v>
      </c>
      <c r="L50" s="64"/>
      <c r="M50" s="64" t="s">
        <v>564</v>
      </c>
      <c r="N50" s="65" t="s">
        <v>565</v>
      </c>
      <c r="O50" s="65" t="str">
        <f xml:space="preserve"> CONCATENATE(K50,E50,N50)</f>
        <v>AO02_Spare AO</v>
      </c>
      <c r="P50" s="65"/>
      <c r="Q50" s="66"/>
    </row>
    <row r="51" spans="1:17" ht="15.75">
      <c r="A51" s="63">
        <v>3</v>
      </c>
      <c r="B51" s="64" t="s">
        <v>566</v>
      </c>
      <c r="C51" s="64"/>
      <c r="D51" s="64" t="s">
        <v>567</v>
      </c>
      <c r="E51" s="64" t="s">
        <v>130</v>
      </c>
      <c r="F51" s="31" t="s">
        <v>568</v>
      </c>
      <c r="G51" s="65" t="str">
        <f t="shared" si="3"/>
        <v>AI03_Dryer Heating Zone-1 Temperature</v>
      </c>
      <c r="H51" s="65" t="s">
        <v>555</v>
      </c>
      <c r="I51" s="65"/>
      <c r="J51" s="64"/>
      <c r="K51" s="64"/>
      <c r="L51" s="64"/>
      <c r="M51" s="64"/>
      <c r="N51" s="65"/>
      <c r="O51" s="65"/>
      <c r="P51" s="65"/>
      <c r="Q51" s="66"/>
    </row>
    <row r="52" spans="1:17" ht="15.75">
      <c r="A52" s="63">
        <v>4</v>
      </c>
      <c r="B52" s="64" t="s">
        <v>569</v>
      </c>
      <c r="C52" s="64"/>
      <c r="D52" s="64" t="s">
        <v>570</v>
      </c>
      <c r="E52" s="64" t="s">
        <v>130</v>
      </c>
      <c r="F52" s="31" t="s">
        <v>571</v>
      </c>
      <c r="G52" s="65" t="str">
        <f t="shared" si="3"/>
        <v>AI04_Dryer Heating Zone-2 Temperature</v>
      </c>
      <c r="H52" s="65" t="s">
        <v>555</v>
      </c>
      <c r="I52" s="65"/>
      <c r="J52" s="64"/>
      <c r="K52" s="64"/>
      <c r="L52" s="64"/>
      <c r="M52" s="64"/>
      <c r="N52" s="65"/>
      <c r="O52" s="65"/>
      <c r="P52" s="65"/>
      <c r="Q52" s="66"/>
    </row>
    <row r="53" spans="1:17" ht="15.75">
      <c r="A53" s="63">
        <v>5</v>
      </c>
      <c r="B53" s="64" t="s">
        <v>572</v>
      </c>
      <c r="C53" s="110"/>
      <c r="D53" s="64" t="s">
        <v>573</v>
      </c>
      <c r="E53" s="64" t="s">
        <v>130</v>
      </c>
      <c r="F53" s="31" t="s">
        <v>574</v>
      </c>
      <c r="G53" s="65" t="str">
        <f t="shared" si="3"/>
        <v>AI05_Dryer Heating Zone-3 Temperature</v>
      </c>
      <c r="H53" s="65" t="s">
        <v>555</v>
      </c>
      <c r="I53" s="109"/>
      <c r="J53" s="110"/>
      <c r="K53" s="110"/>
      <c r="L53" s="110"/>
      <c r="M53" s="110"/>
      <c r="N53" s="111"/>
      <c r="O53" s="111"/>
      <c r="P53" s="111"/>
      <c r="Q53" s="145"/>
    </row>
    <row r="54" spans="1:17" ht="15.75">
      <c r="A54" s="63">
        <v>6</v>
      </c>
      <c r="B54" s="64" t="s">
        <v>575</v>
      </c>
      <c r="C54" s="110"/>
      <c r="D54" s="64" t="s">
        <v>576</v>
      </c>
      <c r="E54" s="64" t="s">
        <v>130</v>
      </c>
      <c r="F54" s="31" t="s">
        <v>577</v>
      </c>
      <c r="G54" s="65" t="str">
        <f t="shared" si="3"/>
        <v xml:space="preserve">AI06_Cooling Air Inlet Temperature </v>
      </c>
      <c r="H54" s="65" t="s">
        <v>555</v>
      </c>
      <c r="I54" s="109"/>
      <c r="J54" s="110"/>
      <c r="K54" s="110"/>
      <c r="L54" s="110"/>
      <c r="M54" s="110"/>
      <c r="N54" s="111"/>
      <c r="O54" s="111"/>
      <c r="P54" s="111"/>
      <c r="Q54" s="145"/>
    </row>
    <row r="55" spans="1:17" ht="15.75">
      <c r="A55" s="63">
        <v>7</v>
      </c>
      <c r="B55" s="64" t="s">
        <v>578</v>
      </c>
      <c r="C55" s="110"/>
      <c r="D55" s="64" t="s">
        <v>579</v>
      </c>
      <c r="E55" s="64" t="s">
        <v>130</v>
      </c>
      <c r="F55" s="31" t="s">
        <v>580</v>
      </c>
      <c r="G55" s="65" t="str">
        <f t="shared" si="3"/>
        <v xml:space="preserve">AI07_Cooling Air Outlet Temperature </v>
      </c>
      <c r="H55" s="65" t="s">
        <v>555</v>
      </c>
      <c r="I55" s="109"/>
      <c r="J55" s="110"/>
      <c r="K55" s="110"/>
      <c r="L55" s="110"/>
      <c r="M55" s="110"/>
      <c r="N55" s="111"/>
      <c r="O55" s="111"/>
      <c r="P55" s="111"/>
      <c r="Q55" s="145"/>
    </row>
    <row r="56" spans="1:17" ht="15.75">
      <c r="A56" s="63">
        <v>8</v>
      </c>
      <c r="B56" s="64" t="s">
        <v>581</v>
      </c>
      <c r="C56" s="110"/>
      <c r="D56" s="64" t="s">
        <v>582</v>
      </c>
      <c r="E56" s="64" t="s">
        <v>130</v>
      </c>
      <c r="F56" s="31" t="s">
        <v>583</v>
      </c>
      <c r="G56" s="65" t="str">
        <f t="shared" si="3"/>
        <v>AI08_Dryer Cooling Zone Temperature</v>
      </c>
      <c r="H56" s="65" t="s">
        <v>555</v>
      </c>
      <c r="I56" s="109"/>
      <c r="J56" s="110"/>
      <c r="K56" s="110"/>
      <c r="L56" s="110"/>
      <c r="M56" s="110"/>
      <c r="N56" s="111"/>
      <c r="O56" s="111"/>
      <c r="P56" s="111"/>
      <c r="Q56" s="145"/>
    </row>
    <row r="57" spans="1:17" ht="15.75">
      <c r="A57" s="63">
        <v>9</v>
      </c>
      <c r="B57" s="64" t="s">
        <v>584</v>
      </c>
      <c r="C57" s="110"/>
      <c r="D57" s="64" t="s">
        <v>585</v>
      </c>
      <c r="E57" s="64" t="s">
        <v>130</v>
      </c>
      <c r="F57" s="109" t="s">
        <v>586</v>
      </c>
      <c r="G57" s="65" t="str">
        <f t="shared" si="3"/>
        <v>AI09_Dryer Heating Zone Dust Collector Pressure Transmitter</v>
      </c>
      <c r="H57" s="109" t="s">
        <v>587</v>
      </c>
      <c r="I57" s="109"/>
      <c r="J57" s="110"/>
      <c r="K57" s="110"/>
      <c r="L57" s="110"/>
      <c r="M57" s="110"/>
      <c r="N57" s="111"/>
      <c r="O57" s="111"/>
      <c r="P57" s="111"/>
      <c r="Q57" s="145"/>
    </row>
    <row r="58" spans="1:17" ht="15.75">
      <c r="A58" s="63">
        <v>10</v>
      </c>
      <c r="B58" s="64" t="s">
        <v>588</v>
      </c>
      <c r="C58" s="110"/>
      <c r="D58" s="64" t="s">
        <v>589</v>
      </c>
      <c r="E58" s="64" t="s">
        <v>130</v>
      </c>
      <c r="F58" s="109" t="s">
        <v>590</v>
      </c>
      <c r="G58" s="65" t="str">
        <f t="shared" si="3"/>
        <v>AI10_Dryer Cooling Zone Dust Collector Pressure Transmitter</v>
      </c>
      <c r="H58" s="109" t="s">
        <v>587</v>
      </c>
      <c r="I58" s="109"/>
      <c r="J58" s="110"/>
      <c r="K58" s="110"/>
      <c r="L58" s="110"/>
      <c r="M58" s="110"/>
      <c r="N58" s="111"/>
      <c r="O58" s="111"/>
      <c r="P58" s="111"/>
      <c r="Q58" s="145"/>
    </row>
    <row r="59" spans="1:17" ht="15.75">
      <c r="A59" s="63">
        <v>11</v>
      </c>
      <c r="B59" s="64" t="s">
        <v>591</v>
      </c>
      <c r="C59" s="110"/>
      <c r="D59" s="64" t="s">
        <v>592</v>
      </c>
      <c r="E59" s="64" t="s">
        <v>130</v>
      </c>
      <c r="F59" s="109" t="s">
        <v>593</v>
      </c>
      <c r="G59" s="65" t="str">
        <f t="shared" si="3"/>
        <v>AI11_Spare AI</v>
      </c>
      <c r="H59" s="109"/>
      <c r="I59" s="109"/>
      <c r="J59" s="110"/>
      <c r="K59" s="110"/>
      <c r="L59" s="110"/>
      <c r="M59" s="110"/>
      <c r="N59" s="111"/>
      <c r="O59" s="111"/>
      <c r="P59" s="111"/>
      <c r="Q59" s="145"/>
    </row>
    <row r="60" spans="1:17" ht="16.5" thickBot="1">
      <c r="A60" s="118">
        <v>12</v>
      </c>
      <c r="B60" s="115" t="s">
        <v>594</v>
      </c>
      <c r="C60" s="112"/>
      <c r="D60" s="115" t="s">
        <v>595</v>
      </c>
      <c r="E60" s="115" t="s">
        <v>130</v>
      </c>
      <c r="F60" s="113" t="s">
        <v>593</v>
      </c>
      <c r="G60" s="119" t="str">
        <f t="shared" si="3"/>
        <v>AI12_Spare AI</v>
      </c>
      <c r="H60" s="113"/>
      <c r="I60" s="113"/>
      <c r="J60" s="112"/>
      <c r="K60" s="112"/>
      <c r="L60" s="112"/>
      <c r="M60" s="112"/>
      <c r="N60" s="114"/>
      <c r="O60" s="114"/>
      <c r="P60" s="114"/>
      <c r="Q60" s="146"/>
    </row>
    <row r="61" spans="1:17" ht="15.75">
      <c r="A61" s="108"/>
    </row>
  </sheetData>
  <autoFilter ref="D5:Q60"/>
  <mergeCells count="4">
    <mergeCell ref="A2:Q2"/>
    <mergeCell ref="A3:Q3"/>
    <mergeCell ref="A4:I4"/>
    <mergeCell ref="J4:Q4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1"/>
  <sheetViews>
    <sheetView tabSelected="1" topLeftCell="A21" zoomScale="55" zoomScaleNormal="55" workbookViewId="0">
      <selection activeCell="I41" sqref="I41"/>
    </sheetView>
  </sheetViews>
  <sheetFormatPr defaultColWidth="8.85546875" defaultRowHeight="14.25"/>
  <cols>
    <col min="1" max="1" width="7.140625" style="6" customWidth="1"/>
    <col min="2" max="2" width="11.140625" style="6" bestFit="1" customWidth="1"/>
    <col min="3" max="3" width="12.140625" style="6" customWidth="1"/>
    <col min="4" max="4" width="16.28515625" style="6" bestFit="1" customWidth="1"/>
    <col min="5" max="5" width="2.28515625" style="6" customWidth="1"/>
    <col min="6" max="6" width="62" style="5" customWidth="1"/>
    <col min="7" max="7" width="67.5703125" style="5" bestFit="1" customWidth="1"/>
    <col min="8" max="8" width="32.28515625" style="5" customWidth="1"/>
    <col min="9" max="9" width="13.42578125" style="5" bestFit="1" customWidth="1"/>
    <col min="10" max="10" width="12.5703125" style="6" bestFit="1" customWidth="1"/>
    <col min="11" max="11" width="11.85546875" style="6" bestFit="1" customWidth="1"/>
    <col min="12" max="12" width="11.85546875" style="6" customWidth="1"/>
    <col min="13" max="13" width="16.28515625" style="6" bestFit="1" customWidth="1"/>
    <col min="14" max="14" width="53.7109375" style="7" customWidth="1"/>
    <col min="15" max="15" width="63.140625" style="7" bestFit="1" customWidth="1"/>
    <col min="16" max="16" width="26.140625" style="7" customWidth="1"/>
    <col min="17" max="17" width="14.7109375" style="8" customWidth="1"/>
    <col min="18" max="16384" width="8.85546875" style="5"/>
  </cols>
  <sheetData>
    <row r="1" spans="1:17" s="3" customFormat="1" ht="16.5" thickBot="1">
      <c r="A1" s="1"/>
      <c r="B1" s="1"/>
      <c r="C1" s="1"/>
      <c r="D1" s="2"/>
      <c r="E1" s="2"/>
      <c r="J1" s="2"/>
      <c r="K1" s="2"/>
      <c r="L1" s="2"/>
      <c r="M1" s="2"/>
      <c r="N1" s="1"/>
      <c r="O1" s="1"/>
      <c r="P1" s="1"/>
      <c r="Q1" s="4"/>
    </row>
    <row r="2" spans="1:17" s="3" customFormat="1" ht="16.5" thickBot="1">
      <c r="A2" s="222"/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</row>
    <row r="3" spans="1:17" ht="15.75" thickBot="1">
      <c r="A3" s="224"/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</row>
    <row r="4" spans="1:17" ht="15.75" thickBot="1">
      <c r="A4" s="226" t="s">
        <v>114</v>
      </c>
      <c r="B4" s="227"/>
      <c r="C4" s="227"/>
      <c r="D4" s="227"/>
      <c r="E4" s="227"/>
      <c r="F4" s="227"/>
      <c r="G4" s="227"/>
      <c r="H4" s="227"/>
      <c r="I4" s="227"/>
      <c r="J4" s="227" t="s">
        <v>115</v>
      </c>
      <c r="K4" s="227"/>
      <c r="L4" s="227"/>
      <c r="M4" s="227"/>
      <c r="N4" s="227"/>
      <c r="O4" s="227"/>
      <c r="P4" s="227"/>
      <c r="Q4" s="227"/>
    </row>
    <row r="5" spans="1:17" ht="16.5" thickBot="1">
      <c r="A5" s="126" t="s">
        <v>116</v>
      </c>
      <c r="B5" s="127" t="s">
        <v>117</v>
      </c>
      <c r="C5" s="127" t="s">
        <v>118</v>
      </c>
      <c r="D5" s="128" t="s">
        <v>119</v>
      </c>
      <c r="E5" s="128"/>
      <c r="F5" s="129" t="s">
        <v>120</v>
      </c>
      <c r="G5" s="129" t="s">
        <v>121</v>
      </c>
      <c r="H5" s="129" t="s">
        <v>17</v>
      </c>
      <c r="I5" s="129" t="s">
        <v>122</v>
      </c>
      <c r="J5" s="127" t="s">
        <v>116</v>
      </c>
      <c r="K5" s="127" t="s">
        <v>123</v>
      </c>
      <c r="L5" s="127" t="s">
        <v>118</v>
      </c>
      <c r="M5" s="128" t="s">
        <v>119</v>
      </c>
      <c r="N5" s="130" t="s">
        <v>124</v>
      </c>
      <c r="O5" s="129" t="s">
        <v>125</v>
      </c>
      <c r="P5" s="129" t="s">
        <v>17</v>
      </c>
      <c r="Q5" s="129" t="s">
        <v>122</v>
      </c>
    </row>
    <row r="6" spans="1:17" ht="16.5" thickBot="1">
      <c r="A6" s="136"/>
      <c r="B6" s="137"/>
      <c r="C6" s="137"/>
      <c r="D6" s="137"/>
      <c r="E6" s="137"/>
      <c r="F6" s="138" t="s">
        <v>126</v>
      </c>
      <c r="G6" s="138" t="s">
        <v>121</v>
      </c>
      <c r="H6" s="138"/>
      <c r="I6" s="138"/>
      <c r="J6" s="139"/>
      <c r="K6" s="139"/>
      <c r="L6" s="139"/>
      <c r="M6" s="140"/>
      <c r="N6" s="140" t="s">
        <v>127</v>
      </c>
      <c r="O6" s="140"/>
      <c r="P6" s="140"/>
      <c r="Q6" s="141"/>
    </row>
    <row r="7" spans="1:17" ht="15.75">
      <c r="A7" s="142">
        <v>1</v>
      </c>
      <c r="B7" s="147" t="s">
        <v>128</v>
      </c>
      <c r="C7" s="60"/>
      <c r="D7" s="60" t="s">
        <v>596</v>
      </c>
      <c r="E7" s="60" t="s">
        <v>130</v>
      </c>
      <c r="F7" s="27" t="s">
        <v>597</v>
      </c>
      <c r="G7" s="61" t="str">
        <f t="shared" ref="G7:G70" si="0">CONCATENATE(B7,E7,F7)</f>
        <v>SDI01_Bag Filling Area E-Stop 1/1</v>
      </c>
      <c r="H7" s="61" t="s">
        <v>132</v>
      </c>
      <c r="I7" t="s">
        <v>906</v>
      </c>
      <c r="J7"/>
      <c r="K7" s="147" t="s">
        <v>133</v>
      </c>
      <c r="L7" s="60"/>
      <c r="M7" s="60" t="s">
        <v>598</v>
      </c>
      <c r="N7" s="61" t="s">
        <v>599</v>
      </c>
      <c r="O7" s="61" t="str">
        <f t="shared" ref="O7:O14" si="1" xml:space="preserve"> CONCATENATE(K7,E7,N7)</f>
        <v>SDO01_Packing Machine Safety Healhy 1/1</v>
      </c>
      <c r="P7" s="61" t="s">
        <v>136</v>
      </c>
      <c r="Q7" s="62"/>
    </row>
    <row r="8" spans="1:17" ht="15.75">
      <c r="A8" s="135">
        <v>2</v>
      </c>
      <c r="B8" s="144" t="s">
        <v>137</v>
      </c>
      <c r="C8" s="64"/>
      <c r="D8" s="64" t="s">
        <v>600</v>
      </c>
      <c r="E8" s="64" t="s">
        <v>130</v>
      </c>
      <c r="F8" s="31" t="s">
        <v>601</v>
      </c>
      <c r="G8" s="65" t="str">
        <f t="shared" si="0"/>
        <v>SDI02_Bag Filling Area E-Stop 1/2</v>
      </c>
      <c r="H8" s="65" t="s">
        <v>132</v>
      </c>
      <c r="I8" t="s">
        <v>907</v>
      </c>
      <c r="J8"/>
      <c r="K8" s="144" t="s">
        <v>140</v>
      </c>
      <c r="L8" s="64"/>
      <c r="M8" s="64" t="s">
        <v>602</v>
      </c>
      <c r="N8" s="65" t="s">
        <v>603</v>
      </c>
      <c r="O8" s="65" t="str">
        <f t="shared" si="1"/>
        <v>SDO02_Packing Machine Safety Healhy 1/2</v>
      </c>
      <c r="P8" s="65" t="s">
        <v>136</v>
      </c>
      <c r="Q8" s="66"/>
    </row>
    <row r="9" spans="1:17" ht="15.75">
      <c r="A9" s="135">
        <v>3</v>
      </c>
      <c r="B9" s="144" t="s">
        <v>143</v>
      </c>
      <c r="C9" s="64"/>
      <c r="D9" s="64" t="s">
        <v>604</v>
      </c>
      <c r="E9" s="64" t="s">
        <v>130</v>
      </c>
      <c r="F9" s="31" t="s">
        <v>605</v>
      </c>
      <c r="G9" s="65" t="str">
        <f t="shared" si="0"/>
        <v>SDI03_Bag Rejection Area E-Stop 1/1</v>
      </c>
      <c r="H9" s="65" t="s">
        <v>132</v>
      </c>
      <c r="I9" t="s">
        <v>908</v>
      </c>
      <c r="J9"/>
      <c r="K9" s="144" t="s">
        <v>146</v>
      </c>
      <c r="L9" s="64"/>
      <c r="M9" s="64" t="s">
        <v>606</v>
      </c>
      <c r="N9" s="65" t="s">
        <v>607</v>
      </c>
      <c r="O9" s="65" t="str">
        <f t="shared" si="1"/>
        <v>SDO03_Air Service Unit Coil-1 Enable</v>
      </c>
      <c r="P9" s="65" t="s">
        <v>608</v>
      </c>
      <c r="Q9" s="66"/>
    </row>
    <row r="10" spans="1:17" ht="15.75">
      <c r="A10" s="135">
        <v>4</v>
      </c>
      <c r="B10" s="144" t="s">
        <v>149</v>
      </c>
      <c r="C10" s="64"/>
      <c r="D10" s="64" t="s">
        <v>609</v>
      </c>
      <c r="E10" s="64" t="s">
        <v>130</v>
      </c>
      <c r="F10" s="31" t="s">
        <v>610</v>
      </c>
      <c r="G10" s="65" t="str">
        <f t="shared" si="0"/>
        <v>SDI04_Bag Rejection Area E-Stop 1/2</v>
      </c>
      <c r="H10" s="65" t="s">
        <v>132</v>
      </c>
      <c r="I10" t="s">
        <v>909</v>
      </c>
      <c r="J10"/>
      <c r="K10" s="144" t="s">
        <v>152</v>
      </c>
      <c r="L10" s="64"/>
      <c r="M10" s="64" t="s">
        <v>611</v>
      </c>
      <c r="N10" s="65" t="s">
        <v>612</v>
      </c>
      <c r="O10" s="65" t="str">
        <f t="shared" si="1"/>
        <v>SDO04_Air Service Unit Coil-2 Enable</v>
      </c>
      <c r="P10" s="65" t="s">
        <v>608</v>
      </c>
      <c r="Q10" s="66"/>
    </row>
    <row r="11" spans="1:17" ht="15.75">
      <c r="A11" s="135">
        <v>5</v>
      </c>
      <c r="B11" s="144" t="s">
        <v>154</v>
      </c>
      <c r="C11" s="64"/>
      <c r="D11" s="64" t="s">
        <v>613</v>
      </c>
      <c r="E11" s="64" t="s">
        <v>130</v>
      </c>
      <c r="F11" s="65" t="s">
        <v>205</v>
      </c>
      <c r="G11" s="65" t="str">
        <f t="shared" si="0"/>
        <v>SDI05_Spare DI</v>
      </c>
      <c r="H11" s="65"/>
      <c r="I11" t="s">
        <v>910</v>
      </c>
      <c r="J11"/>
      <c r="K11" s="144" t="s">
        <v>157</v>
      </c>
      <c r="L11" s="64"/>
      <c r="M11" s="64" t="s">
        <v>614</v>
      </c>
      <c r="N11" s="65"/>
      <c r="O11" s="65" t="str">
        <f t="shared" si="1"/>
        <v>SDO05_</v>
      </c>
      <c r="P11" s="65"/>
      <c r="Q11" s="66"/>
    </row>
    <row r="12" spans="1:17" ht="15.75">
      <c r="A12" s="135">
        <v>6</v>
      </c>
      <c r="B12" s="144" t="s">
        <v>159</v>
      </c>
      <c r="C12" s="64"/>
      <c r="D12" s="64" t="s">
        <v>615</v>
      </c>
      <c r="E12" s="64" t="s">
        <v>130</v>
      </c>
      <c r="F12" s="65" t="s">
        <v>205</v>
      </c>
      <c r="G12" s="65" t="str">
        <f t="shared" si="0"/>
        <v>SDI06_Spare DI</v>
      </c>
      <c r="H12" s="65"/>
      <c r="I12" t="s">
        <v>911</v>
      </c>
      <c r="J12"/>
      <c r="K12" s="144" t="s">
        <v>162</v>
      </c>
      <c r="L12" s="64"/>
      <c r="M12" s="64" t="s">
        <v>616</v>
      </c>
      <c r="N12" s="65"/>
      <c r="O12" s="65" t="str">
        <f t="shared" si="1"/>
        <v>SDO06_</v>
      </c>
      <c r="P12" s="65"/>
      <c r="Q12" s="66"/>
    </row>
    <row r="13" spans="1:17" ht="15.75">
      <c r="A13" s="135">
        <v>7</v>
      </c>
      <c r="B13" s="144" t="s">
        <v>164</v>
      </c>
      <c r="C13" s="64"/>
      <c r="D13" s="64" t="s">
        <v>617</v>
      </c>
      <c r="E13" s="64" t="s">
        <v>130</v>
      </c>
      <c r="F13" s="65" t="s">
        <v>205</v>
      </c>
      <c r="G13" s="65" t="str">
        <f t="shared" si="0"/>
        <v>SDI07_Spare DI</v>
      </c>
      <c r="H13" s="65"/>
      <c r="I13" t="s">
        <v>912</v>
      </c>
      <c r="J13"/>
      <c r="K13" s="144" t="s">
        <v>167</v>
      </c>
      <c r="L13" s="64"/>
      <c r="M13" s="64" t="s">
        <v>618</v>
      </c>
      <c r="N13" s="65"/>
      <c r="O13" s="65" t="str">
        <f t="shared" si="1"/>
        <v>SDO07_</v>
      </c>
      <c r="P13" s="65"/>
      <c r="Q13" s="66"/>
    </row>
    <row r="14" spans="1:17" ht="15.75">
      <c r="A14" s="135">
        <v>8</v>
      </c>
      <c r="B14" s="144" t="s">
        <v>170</v>
      </c>
      <c r="C14" s="64"/>
      <c r="D14" s="64" t="s">
        <v>619</v>
      </c>
      <c r="E14" s="64" t="s">
        <v>130</v>
      </c>
      <c r="F14" s="65" t="s">
        <v>205</v>
      </c>
      <c r="G14" s="65" t="str">
        <f t="shared" si="0"/>
        <v>SDI08_Spare DI</v>
      </c>
      <c r="H14" s="65"/>
      <c r="I14" t="s">
        <v>913</v>
      </c>
      <c r="J14"/>
      <c r="K14" s="144" t="s">
        <v>173</v>
      </c>
      <c r="L14" s="64"/>
      <c r="M14" s="64" t="s">
        <v>620</v>
      </c>
      <c r="N14" s="65"/>
      <c r="O14" s="65" t="str">
        <f t="shared" si="1"/>
        <v>SDO08_</v>
      </c>
      <c r="P14" s="65"/>
      <c r="Q14" s="66"/>
    </row>
    <row r="15" spans="1:17" ht="15.75">
      <c r="A15" s="63">
        <v>1</v>
      </c>
      <c r="B15" s="64" t="s">
        <v>176</v>
      </c>
      <c r="C15" s="64"/>
      <c r="D15" s="64" t="s">
        <v>621</v>
      </c>
      <c r="E15" s="64" t="s">
        <v>130</v>
      </c>
      <c r="F15" s="65" t="s">
        <v>622</v>
      </c>
      <c r="G15" s="65" t="str">
        <f t="shared" si="0"/>
        <v>DI01_Packing Start PB</v>
      </c>
      <c r="H15" s="65" t="s">
        <v>179</v>
      </c>
      <c r="I15" t="s">
        <v>914</v>
      </c>
      <c r="J15"/>
      <c r="K15" s="64" t="s">
        <v>180</v>
      </c>
      <c r="L15" s="64"/>
      <c r="M15" s="64" t="s">
        <v>623</v>
      </c>
      <c r="N15" s="65" t="s">
        <v>624</v>
      </c>
      <c r="O15" s="65" t="str">
        <f t="shared" ref="O15:O54" si="2" xml:space="preserve"> CONCATENATE(K15,E15,N15)</f>
        <v xml:space="preserve">DO01_Packing Tower Lamp Red </v>
      </c>
      <c r="P15" s="65" t="s">
        <v>183</v>
      </c>
      <c r="Q15" s="66"/>
    </row>
    <row r="16" spans="1:17" ht="15.75">
      <c r="A16" s="63">
        <v>2</v>
      </c>
      <c r="B16" s="64" t="s">
        <v>184</v>
      </c>
      <c r="C16" s="64"/>
      <c r="D16" s="64" t="s">
        <v>625</v>
      </c>
      <c r="E16" s="64" t="s">
        <v>130</v>
      </c>
      <c r="F16" s="65" t="s">
        <v>626</v>
      </c>
      <c r="G16" s="65" t="str">
        <f t="shared" si="0"/>
        <v>DI02_Packing Stop PB</v>
      </c>
      <c r="H16" s="65" t="s">
        <v>187</v>
      </c>
      <c r="I16" t="s">
        <v>915</v>
      </c>
      <c r="J16"/>
      <c r="K16" s="64" t="s">
        <v>188</v>
      </c>
      <c r="L16" s="64"/>
      <c r="M16" s="64" t="s">
        <v>627</v>
      </c>
      <c r="N16" s="65" t="s">
        <v>628</v>
      </c>
      <c r="O16" s="65" t="str">
        <f t="shared" si="2"/>
        <v>DO02_Packing Tower Lamp Amber</v>
      </c>
      <c r="P16" s="65" t="s">
        <v>183</v>
      </c>
      <c r="Q16" s="66"/>
    </row>
    <row r="17" spans="1:17" ht="15.75">
      <c r="A17" s="63">
        <v>3</v>
      </c>
      <c r="B17" s="64" t="s">
        <v>191</v>
      </c>
      <c r="C17" s="64"/>
      <c r="D17" s="64" t="s">
        <v>629</v>
      </c>
      <c r="E17" s="64" t="s">
        <v>130</v>
      </c>
      <c r="F17" s="65" t="s">
        <v>630</v>
      </c>
      <c r="G17" s="65" t="str">
        <f t="shared" si="0"/>
        <v>DI03_Packing System Reset PB</v>
      </c>
      <c r="H17" s="65" t="s">
        <v>179</v>
      </c>
      <c r="I17" t="s">
        <v>916</v>
      </c>
      <c r="J17"/>
      <c r="K17" s="64" t="s">
        <v>194</v>
      </c>
      <c r="L17" s="64"/>
      <c r="M17" s="64" t="s">
        <v>631</v>
      </c>
      <c r="N17" s="65" t="s">
        <v>632</v>
      </c>
      <c r="O17" s="65" t="str">
        <f t="shared" si="2"/>
        <v>DO03_Packing Tower Lamp Green</v>
      </c>
      <c r="P17" s="65" t="s">
        <v>183</v>
      </c>
      <c r="Q17" s="66"/>
    </row>
    <row r="18" spans="1:17" ht="15.75">
      <c r="A18" s="63">
        <v>4</v>
      </c>
      <c r="B18" s="64" t="s">
        <v>197</v>
      </c>
      <c r="C18" s="64"/>
      <c r="D18" s="64" t="s">
        <v>633</v>
      </c>
      <c r="E18" s="64" t="s">
        <v>130</v>
      </c>
      <c r="F18" s="65" t="s">
        <v>634</v>
      </c>
      <c r="G18" s="65" t="str">
        <f t="shared" si="0"/>
        <v>DI04_Packing System Safety Reset PB</v>
      </c>
      <c r="H18" s="65" t="s">
        <v>179</v>
      </c>
      <c r="I18" t="s">
        <v>917</v>
      </c>
      <c r="J18"/>
      <c r="K18" s="64" t="s">
        <v>200</v>
      </c>
      <c r="L18" s="64"/>
      <c r="M18" s="64" t="s">
        <v>635</v>
      </c>
      <c r="N18" s="65" t="s">
        <v>636</v>
      </c>
      <c r="O18" s="65" t="str">
        <f t="shared" si="2"/>
        <v>DO04_Packing Tower Lamp Buzzer</v>
      </c>
      <c r="P18" s="65" t="s">
        <v>183</v>
      </c>
      <c r="Q18" s="66"/>
    </row>
    <row r="19" spans="1:17" ht="15.75">
      <c r="A19" s="63">
        <v>5</v>
      </c>
      <c r="B19" s="64" t="s">
        <v>203</v>
      </c>
      <c r="C19" s="64"/>
      <c r="D19" s="64" t="s">
        <v>637</v>
      </c>
      <c r="E19" s="64" t="s">
        <v>130</v>
      </c>
      <c r="F19" s="65" t="s">
        <v>205</v>
      </c>
      <c r="G19" s="65" t="str">
        <f t="shared" si="0"/>
        <v>DI05_Spare DI</v>
      </c>
      <c r="H19" s="65"/>
      <c r="I19" t="s">
        <v>918</v>
      </c>
      <c r="J19"/>
      <c r="K19" s="64" t="s">
        <v>206</v>
      </c>
      <c r="L19" s="64"/>
      <c r="M19" s="64" t="s">
        <v>638</v>
      </c>
      <c r="N19" s="65" t="s">
        <v>639</v>
      </c>
      <c r="O19" s="65" t="str">
        <f t="shared" si="2"/>
        <v>DO05_Packing System Start PB Green Lamp</v>
      </c>
      <c r="P19" s="65" t="s">
        <v>179</v>
      </c>
      <c r="Q19" s="66"/>
    </row>
    <row r="20" spans="1:17" ht="15.75">
      <c r="A20" s="63">
        <v>6</v>
      </c>
      <c r="B20" s="64" t="s">
        <v>209</v>
      </c>
      <c r="C20" s="64"/>
      <c r="D20" s="64" t="s">
        <v>640</v>
      </c>
      <c r="E20" s="64" t="s">
        <v>130</v>
      </c>
      <c r="F20" s="31" t="s">
        <v>216</v>
      </c>
      <c r="G20" s="65" t="str">
        <f t="shared" si="0"/>
        <v>DI06_3 Phase Supply Ok</v>
      </c>
      <c r="H20" s="65" t="s">
        <v>224</v>
      </c>
      <c r="I20" t="s">
        <v>919</v>
      </c>
      <c r="J20"/>
      <c r="K20" s="64" t="s">
        <v>211</v>
      </c>
      <c r="L20" s="64"/>
      <c r="M20" s="64" t="s">
        <v>641</v>
      </c>
      <c r="N20" s="65" t="s">
        <v>642</v>
      </c>
      <c r="O20" s="65" t="str">
        <f t="shared" si="2"/>
        <v>DO06_Packing System Reset PB Blue Lamp</v>
      </c>
      <c r="P20" s="65" t="s">
        <v>179</v>
      </c>
      <c r="Q20" s="66"/>
    </row>
    <row r="21" spans="1:17" ht="15.75">
      <c r="A21" s="63">
        <v>7</v>
      </c>
      <c r="B21" s="64" t="s">
        <v>214</v>
      </c>
      <c r="C21" s="64"/>
      <c r="D21" s="64" t="s">
        <v>643</v>
      </c>
      <c r="E21" s="64" t="s">
        <v>130</v>
      </c>
      <c r="F21" s="65" t="s">
        <v>644</v>
      </c>
      <c r="G21" s="65" t="str">
        <f t="shared" si="0"/>
        <v>DI07_Packing Air Pressure Switch</v>
      </c>
      <c r="H21" s="65" t="s">
        <v>217</v>
      </c>
      <c r="I21" t="s">
        <v>920</v>
      </c>
      <c r="J21"/>
      <c r="K21" s="64" t="s">
        <v>218</v>
      </c>
      <c r="L21" s="64"/>
      <c r="M21" s="64" t="s">
        <v>645</v>
      </c>
      <c r="N21" s="65" t="s">
        <v>646</v>
      </c>
      <c r="O21" s="65" t="str">
        <f t="shared" si="2"/>
        <v>DO07_Packing System Safety Reset PB Yellow Lamp</v>
      </c>
      <c r="P21" s="65" t="s">
        <v>179</v>
      </c>
      <c r="Q21" s="66"/>
    </row>
    <row r="22" spans="1:17" ht="15.75">
      <c r="A22" s="63">
        <v>8</v>
      </c>
      <c r="B22" s="64" t="s">
        <v>221</v>
      </c>
      <c r="C22" s="64"/>
      <c r="D22" s="64" t="s">
        <v>647</v>
      </c>
      <c r="E22" s="64" t="s">
        <v>130</v>
      </c>
      <c r="F22" s="65" t="s">
        <v>205</v>
      </c>
      <c r="G22" s="65" t="str">
        <f t="shared" si="0"/>
        <v>DI08_Spare DI</v>
      </c>
      <c r="H22" s="65"/>
      <c r="I22" t="s">
        <v>921</v>
      </c>
      <c r="J22"/>
      <c r="K22" s="64" t="s">
        <v>225</v>
      </c>
      <c r="L22" s="64"/>
      <c r="M22" s="64" t="s">
        <v>648</v>
      </c>
      <c r="N22" s="65" t="s">
        <v>227</v>
      </c>
      <c r="O22" s="65" t="str">
        <f t="shared" si="2"/>
        <v>DO08_Spare DO</v>
      </c>
      <c r="P22" s="65"/>
      <c r="Q22" s="66"/>
    </row>
    <row r="23" spans="1:17" ht="15.75">
      <c r="A23" s="63">
        <v>9</v>
      </c>
      <c r="B23" s="64" t="s">
        <v>228</v>
      </c>
      <c r="C23" s="64"/>
      <c r="D23" s="64" t="s">
        <v>649</v>
      </c>
      <c r="E23" s="64" t="s">
        <v>130</v>
      </c>
      <c r="F23" s="31" t="s">
        <v>650</v>
      </c>
      <c r="G23" s="65" t="str">
        <f t="shared" si="0"/>
        <v>DI09_Incliend Belt conveyor Disconnector FB</v>
      </c>
      <c r="H23" s="65" t="s">
        <v>490</v>
      </c>
      <c r="I23" t="s">
        <v>922</v>
      </c>
      <c r="J23"/>
      <c r="K23" s="64" t="s">
        <v>232</v>
      </c>
      <c r="L23" s="64"/>
      <c r="M23" s="64" t="s">
        <v>651</v>
      </c>
      <c r="N23" s="65" t="s">
        <v>652</v>
      </c>
      <c r="O23" s="65" t="str">
        <f t="shared" si="2"/>
        <v>DO09_Electro Magnetic Coarse Vibro Enable</v>
      </c>
      <c r="P23" s="65" t="s">
        <v>521</v>
      </c>
      <c r="Q23" s="66"/>
    </row>
    <row r="24" spans="1:17" ht="15.75">
      <c r="A24" s="63">
        <v>10</v>
      </c>
      <c r="B24" s="64" t="s">
        <v>235</v>
      </c>
      <c r="C24" s="64"/>
      <c r="D24" s="64" t="s">
        <v>653</v>
      </c>
      <c r="E24" s="64" t="s">
        <v>130</v>
      </c>
      <c r="F24" s="31" t="s">
        <v>654</v>
      </c>
      <c r="G24" s="65" t="str">
        <f t="shared" si="0"/>
        <v>DI10_Material Storage Vibro-1 Disconnector FB</v>
      </c>
      <c r="H24" s="65" t="s">
        <v>490</v>
      </c>
      <c r="I24" t="s">
        <v>923</v>
      </c>
      <c r="J24"/>
      <c r="K24" s="64" t="s">
        <v>238</v>
      </c>
      <c r="L24" s="64"/>
      <c r="M24" s="64" t="s">
        <v>655</v>
      </c>
      <c r="N24" s="65" t="s">
        <v>656</v>
      </c>
      <c r="O24" s="65" t="str">
        <f t="shared" si="2"/>
        <v>DO10_Electro Magnetic Fine Vibro Enable</v>
      </c>
      <c r="P24" s="65" t="s">
        <v>521</v>
      </c>
      <c r="Q24" s="66"/>
    </row>
    <row r="25" spans="1:17" ht="15.75">
      <c r="A25" s="63">
        <v>11</v>
      </c>
      <c r="B25" s="64" t="s">
        <v>241</v>
      </c>
      <c r="C25" s="64"/>
      <c r="D25" s="64" t="s">
        <v>657</v>
      </c>
      <c r="E25" s="64" t="s">
        <v>130</v>
      </c>
      <c r="F25" s="31" t="s">
        <v>658</v>
      </c>
      <c r="G25" s="65" t="str">
        <f t="shared" si="0"/>
        <v>DI11_Material Storage Vibro-2 Disconnector FB</v>
      </c>
      <c r="H25" s="65" t="s">
        <v>490</v>
      </c>
      <c r="I25" t="s">
        <v>924</v>
      </c>
      <c r="J25"/>
      <c r="K25" s="64" t="s">
        <v>244</v>
      </c>
      <c r="L25" s="64"/>
      <c r="M25" s="64" t="s">
        <v>659</v>
      </c>
      <c r="N25" s="31" t="s">
        <v>660</v>
      </c>
      <c r="O25" s="65" t="str">
        <f t="shared" si="2"/>
        <v>DO11_Bag Stitching Motor Enable</v>
      </c>
      <c r="P25" s="65" t="s">
        <v>477</v>
      </c>
      <c r="Q25" s="66"/>
    </row>
    <row r="26" spans="1:17" ht="15.75">
      <c r="A26" s="63">
        <v>12</v>
      </c>
      <c r="B26" s="64" t="s">
        <v>247</v>
      </c>
      <c r="C26" s="64"/>
      <c r="D26" s="64" t="s">
        <v>661</v>
      </c>
      <c r="E26" s="64" t="s">
        <v>130</v>
      </c>
      <c r="F26" s="31" t="s">
        <v>662</v>
      </c>
      <c r="G26" s="65" t="str">
        <f t="shared" si="0"/>
        <v>DI12_Bag Filling Conveyor Disconnector FB</v>
      </c>
      <c r="H26" s="65" t="s">
        <v>490</v>
      </c>
      <c r="I26" t="s">
        <v>925</v>
      </c>
      <c r="J26"/>
      <c r="K26" s="64" t="s">
        <v>249</v>
      </c>
      <c r="L26" s="64"/>
      <c r="M26" s="64" t="s">
        <v>663</v>
      </c>
      <c r="N26" s="31" t="s">
        <v>664</v>
      </c>
      <c r="O26" s="65" t="str">
        <f t="shared" si="2"/>
        <v>DO12_Bagging Zone Dust Collector Enable</v>
      </c>
      <c r="P26" s="65" t="s">
        <v>477</v>
      </c>
      <c r="Q26" s="66"/>
    </row>
    <row r="27" spans="1:17" ht="15.75">
      <c r="A27" s="63">
        <v>13</v>
      </c>
      <c r="B27" s="64" t="s">
        <v>252</v>
      </c>
      <c r="C27" s="64"/>
      <c r="D27" s="64" t="s">
        <v>665</v>
      </c>
      <c r="E27" s="64" t="s">
        <v>130</v>
      </c>
      <c r="F27" s="31" t="s">
        <v>666</v>
      </c>
      <c r="G27" s="65" t="str">
        <f t="shared" si="0"/>
        <v>DI13_Bag Sealing &amp; Stiching Conveyor Disconnector FB</v>
      </c>
      <c r="H27" s="65" t="s">
        <v>490</v>
      </c>
      <c r="I27" t="s">
        <v>926</v>
      </c>
      <c r="J27"/>
      <c r="K27" s="64" t="s">
        <v>255</v>
      </c>
      <c r="L27" s="64"/>
      <c r="M27" s="64" t="s">
        <v>667</v>
      </c>
      <c r="N27" s="65" t="s">
        <v>668</v>
      </c>
      <c r="O27" s="65" t="str">
        <f t="shared" si="2"/>
        <v>DO13_Bag Sealing Machine Enable</v>
      </c>
      <c r="P27" s="65" t="s">
        <v>521</v>
      </c>
      <c r="Q27" s="66"/>
    </row>
    <row r="28" spans="1:17" ht="15.75">
      <c r="A28" s="63">
        <v>14</v>
      </c>
      <c r="B28" s="64" t="s">
        <v>258</v>
      </c>
      <c r="C28" s="64"/>
      <c r="D28" s="64" t="s">
        <v>669</v>
      </c>
      <c r="E28" s="64" t="s">
        <v>130</v>
      </c>
      <c r="F28" s="31" t="s">
        <v>670</v>
      </c>
      <c r="G28" s="65" t="str">
        <f t="shared" si="0"/>
        <v>DI14_Bag Stitching Motor Trip Healthy</v>
      </c>
      <c r="H28" s="65" t="s">
        <v>387</v>
      </c>
      <c r="I28" t="s">
        <v>927</v>
      </c>
      <c r="J28"/>
      <c r="K28" s="64" t="s">
        <v>261</v>
      </c>
      <c r="L28" s="64"/>
      <c r="M28" s="64" t="s">
        <v>671</v>
      </c>
      <c r="N28" s="65" t="s">
        <v>227</v>
      </c>
      <c r="O28" s="65" t="str">
        <f t="shared" si="2"/>
        <v>DO14_Spare DO</v>
      </c>
      <c r="P28" s="65"/>
      <c r="Q28" s="66"/>
    </row>
    <row r="29" spans="1:17" ht="15.75">
      <c r="A29" s="63">
        <v>15</v>
      </c>
      <c r="B29" s="64" t="s">
        <v>264</v>
      </c>
      <c r="C29" s="64"/>
      <c r="D29" s="64" t="s">
        <v>672</v>
      </c>
      <c r="E29" s="64" t="s">
        <v>130</v>
      </c>
      <c r="F29" s="31" t="s">
        <v>673</v>
      </c>
      <c r="G29" s="65" t="str">
        <f t="shared" si="0"/>
        <v>DI15_Bag Tilting Conveyor Disconnector FB</v>
      </c>
      <c r="H29" s="65" t="s">
        <v>490</v>
      </c>
      <c r="I29" t="s">
        <v>928</v>
      </c>
      <c r="J29"/>
      <c r="K29" s="64" t="s">
        <v>267</v>
      </c>
      <c r="L29" s="64"/>
      <c r="M29" s="64" t="s">
        <v>674</v>
      </c>
      <c r="N29" s="65" t="s">
        <v>227</v>
      </c>
      <c r="O29" s="65" t="str">
        <f t="shared" si="2"/>
        <v>DO15_Spare DO</v>
      </c>
      <c r="P29" s="65"/>
      <c r="Q29" s="66"/>
    </row>
    <row r="30" spans="1:17" ht="15.75">
      <c r="A30" s="63">
        <v>16</v>
      </c>
      <c r="B30" s="64" t="s">
        <v>270</v>
      </c>
      <c r="C30" s="64"/>
      <c r="D30" s="64" t="s">
        <v>675</v>
      </c>
      <c r="E30" s="64" t="s">
        <v>130</v>
      </c>
      <c r="F30" s="31" t="s">
        <v>676</v>
      </c>
      <c r="G30" s="65" t="str">
        <f t="shared" si="0"/>
        <v>DI16_Bag Flattening Bottom Conveyor Disconnector FB</v>
      </c>
      <c r="H30" s="65" t="s">
        <v>490</v>
      </c>
      <c r="I30" t="s">
        <v>929</v>
      </c>
      <c r="J30"/>
      <c r="K30" s="64" t="s">
        <v>272</v>
      </c>
      <c r="L30" s="64"/>
      <c r="M30" s="64" t="s">
        <v>677</v>
      </c>
      <c r="N30" s="65" t="s">
        <v>227</v>
      </c>
      <c r="O30" s="65" t="str">
        <f t="shared" si="2"/>
        <v>DO16_Spare DO</v>
      </c>
      <c r="P30" s="65"/>
      <c r="Q30" s="66"/>
    </row>
    <row r="31" spans="1:17" ht="15.75">
      <c r="A31" s="63">
        <v>17</v>
      </c>
      <c r="B31" s="64" t="s">
        <v>274</v>
      </c>
      <c r="C31" s="64"/>
      <c r="D31" s="64" t="s">
        <v>678</v>
      </c>
      <c r="E31" s="64" t="s">
        <v>130</v>
      </c>
      <c r="F31" s="31" t="s">
        <v>679</v>
      </c>
      <c r="G31" s="65" t="str">
        <f t="shared" si="0"/>
        <v>DI17_Bag Flattening Top Conveyor Disconnector FB</v>
      </c>
      <c r="H31" s="65" t="s">
        <v>490</v>
      </c>
      <c r="I31" t="s">
        <v>930</v>
      </c>
      <c r="J31"/>
      <c r="K31" s="64" t="s">
        <v>278</v>
      </c>
      <c r="L31" s="64"/>
      <c r="M31" s="64" t="s">
        <v>680</v>
      </c>
      <c r="N31" s="65" t="s">
        <v>681</v>
      </c>
      <c r="O31" s="65" t="str">
        <f t="shared" si="2"/>
        <v>DO17_Diverter Flap Cylinder FWD SOV</v>
      </c>
      <c r="P31" s="65" t="s">
        <v>682</v>
      </c>
      <c r="Q31" s="66"/>
    </row>
    <row r="32" spans="1:17" ht="15.75">
      <c r="A32" s="63">
        <v>18</v>
      </c>
      <c r="B32" s="64" t="s">
        <v>281</v>
      </c>
      <c r="C32" s="64"/>
      <c r="D32" s="64" t="s">
        <v>683</v>
      </c>
      <c r="E32" s="64" t="s">
        <v>130</v>
      </c>
      <c r="F32" s="31" t="s">
        <v>684</v>
      </c>
      <c r="G32" s="65" t="str">
        <f t="shared" si="0"/>
        <v>DI18_Metal Detector Conveyor Disconnector FB</v>
      </c>
      <c r="H32" s="65" t="s">
        <v>490</v>
      </c>
      <c r="I32" t="s">
        <v>931</v>
      </c>
      <c r="J32"/>
      <c r="K32" s="64" t="s">
        <v>284</v>
      </c>
      <c r="L32" s="64"/>
      <c r="M32" s="64" t="s">
        <v>685</v>
      </c>
      <c r="N32" s="65" t="s">
        <v>686</v>
      </c>
      <c r="O32" s="65" t="str">
        <f t="shared" si="2"/>
        <v>DO18_Diverter Flap Cylinder REV SOV</v>
      </c>
      <c r="P32" s="65" t="s">
        <v>682</v>
      </c>
      <c r="Q32" s="66"/>
    </row>
    <row r="33" spans="1:17" ht="15.75">
      <c r="A33" s="63">
        <v>19</v>
      </c>
      <c r="B33" s="64" t="s">
        <v>287</v>
      </c>
      <c r="C33" s="64"/>
      <c r="D33" s="64" t="s">
        <v>687</v>
      </c>
      <c r="E33" s="64" t="s">
        <v>130</v>
      </c>
      <c r="F33" s="31" t="s">
        <v>688</v>
      </c>
      <c r="G33" s="65" t="str">
        <f t="shared" si="0"/>
        <v>DI19_Bag Rejection Conveyor Disconnector FB</v>
      </c>
      <c r="H33" s="65" t="s">
        <v>490</v>
      </c>
      <c r="I33" t="s">
        <v>932</v>
      </c>
      <c r="J33"/>
      <c r="K33" s="64" t="s">
        <v>290</v>
      </c>
      <c r="L33" s="64"/>
      <c r="M33" s="64" t="s">
        <v>689</v>
      </c>
      <c r="N33" s="65" t="s">
        <v>690</v>
      </c>
      <c r="O33" s="65" t="str">
        <f t="shared" si="2"/>
        <v xml:space="preserve">DO19_Filling Station Bag Clamp-1/2 Open SOV </v>
      </c>
      <c r="P33" s="65" t="s">
        <v>682</v>
      </c>
      <c r="Q33" s="66"/>
    </row>
    <row r="34" spans="1:17" ht="15.75">
      <c r="A34" s="63">
        <v>20</v>
      </c>
      <c r="B34" s="64" t="s">
        <v>293</v>
      </c>
      <c r="C34" s="64"/>
      <c r="D34" s="64" t="s">
        <v>691</v>
      </c>
      <c r="E34" s="64" t="s">
        <v>130</v>
      </c>
      <c r="F34" s="31" t="s">
        <v>692</v>
      </c>
      <c r="G34" s="65" t="str">
        <f t="shared" si="0"/>
        <v>DI20_Bagging Zone Dust Collector Trip Healthy</v>
      </c>
      <c r="H34" s="65" t="s">
        <v>387</v>
      </c>
      <c r="I34" t="s">
        <v>933</v>
      </c>
      <c r="J34"/>
      <c r="K34" s="64" t="s">
        <v>296</v>
      </c>
      <c r="L34" s="64"/>
      <c r="M34" s="64" t="s">
        <v>693</v>
      </c>
      <c r="N34" s="65" t="s">
        <v>694</v>
      </c>
      <c r="O34" s="65" t="str">
        <f t="shared" si="2"/>
        <v>DO20_Filling Station Bag Clamp-1/2 Open SOV</v>
      </c>
      <c r="P34" s="65" t="s">
        <v>682</v>
      </c>
      <c r="Q34" s="66"/>
    </row>
    <row r="35" spans="1:17" ht="15.75">
      <c r="A35" s="63">
        <v>21</v>
      </c>
      <c r="B35" s="64" t="s">
        <v>299</v>
      </c>
      <c r="C35" s="64"/>
      <c r="D35" s="64" t="s">
        <v>695</v>
      </c>
      <c r="E35" s="64" t="s">
        <v>130</v>
      </c>
      <c r="F35" s="65" t="s">
        <v>696</v>
      </c>
      <c r="G35" s="65" t="str">
        <f t="shared" si="0"/>
        <v>DI21_Electro Magnetic Coarse Vibro Trip Healthy</v>
      </c>
      <c r="H35" s="65" t="s">
        <v>697</v>
      </c>
      <c r="I35" t="s">
        <v>934</v>
      </c>
      <c r="J35"/>
      <c r="K35" s="64" t="s">
        <v>302</v>
      </c>
      <c r="L35" s="64"/>
      <c r="M35" s="64" t="s">
        <v>698</v>
      </c>
      <c r="N35" s="65" t="s">
        <v>699</v>
      </c>
      <c r="O35" s="65" t="str">
        <f t="shared" si="2"/>
        <v>DO21_Filling Station Bag Side Flap-1/2 Open SOV</v>
      </c>
      <c r="P35" s="65" t="s">
        <v>682</v>
      </c>
      <c r="Q35" s="66"/>
    </row>
    <row r="36" spans="1:17" ht="15.75">
      <c r="A36" s="63">
        <v>22</v>
      </c>
      <c r="B36" s="64" t="s">
        <v>305</v>
      </c>
      <c r="C36" s="64"/>
      <c r="D36" s="64" t="s">
        <v>700</v>
      </c>
      <c r="E36" s="64" t="s">
        <v>130</v>
      </c>
      <c r="F36" s="65" t="s">
        <v>701</v>
      </c>
      <c r="G36" s="65" t="str">
        <f t="shared" si="0"/>
        <v>DI22_Electro Magnetic Fine Vibro Trip Healthy</v>
      </c>
      <c r="H36" s="65" t="s">
        <v>697</v>
      </c>
      <c r="I36" t="s">
        <v>935</v>
      </c>
      <c r="J36"/>
      <c r="K36" s="64" t="s">
        <v>308</v>
      </c>
      <c r="L36" s="64"/>
      <c r="M36" s="64" t="s">
        <v>702</v>
      </c>
      <c r="N36" s="65" t="s">
        <v>703</v>
      </c>
      <c r="O36" s="65" t="str">
        <f t="shared" si="2"/>
        <v>DO22_Filling Station Bag Side Flap-1/2 Close SOV</v>
      </c>
      <c r="P36" s="65" t="s">
        <v>682</v>
      </c>
      <c r="Q36" s="66"/>
    </row>
    <row r="37" spans="1:17" ht="15.75">
      <c r="A37" s="63">
        <v>23</v>
      </c>
      <c r="B37" s="64" t="s">
        <v>311</v>
      </c>
      <c r="C37" s="64"/>
      <c r="D37" s="64" t="s">
        <v>704</v>
      </c>
      <c r="E37" s="64" t="s">
        <v>130</v>
      </c>
      <c r="F37" s="65" t="s">
        <v>705</v>
      </c>
      <c r="G37" s="65" t="str">
        <f t="shared" si="0"/>
        <v>DI23_Band Sealer Machine Trip Healthy</v>
      </c>
      <c r="H37" s="65" t="s">
        <v>697</v>
      </c>
      <c r="I37" t="s">
        <v>905</v>
      </c>
      <c r="J37"/>
      <c r="K37" s="64" t="s">
        <v>313</v>
      </c>
      <c r="L37" s="64"/>
      <c r="M37" s="64" t="s">
        <v>706</v>
      </c>
      <c r="N37" s="65" t="s">
        <v>707</v>
      </c>
      <c r="O37" s="65" t="str">
        <f t="shared" si="2"/>
        <v>DO23_Filling Station Conveyor Up SOV</v>
      </c>
      <c r="P37" s="65" t="s">
        <v>682</v>
      </c>
      <c r="Q37" s="66"/>
    </row>
    <row r="38" spans="1:17" ht="15.75">
      <c r="A38" s="63">
        <v>24</v>
      </c>
      <c r="B38" s="64" t="s">
        <v>316</v>
      </c>
      <c r="C38" s="64"/>
      <c r="D38" s="64" t="s">
        <v>708</v>
      </c>
      <c r="E38" s="64" t="s">
        <v>130</v>
      </c>
      <c r="F38" s="65" t="s">
        <v>205</v>
      </c>
      <c r="G38" s="65" t="str">
        <f t="shared" si="0"/>
        <v>DI24_Spare DI</v>
      </c>
      <c r="H38" s="65"/>
      <c r="I38" t="s">
        <v>936</v>
      </c>
      <c r="J38"/>
      <c r="K38" s="64" t="s">
        <v>318</v>
      </c>
      <c r="L38" s="64"/>
      <c r="M38" s="64" t="s">
        <v>709</v>
      </c>
      <c r="N38" s="65" t="s">
        <v>710</v>
      </c>
      <c r="O38" s="65" t="str">
        <f t="shared" si="2"/>
        <v>DO24_Filling Station Conveyor Dn SOV</v>
      </c>
      <c r="P38" s="65" t="s">
        <v>682</v>
      </c>
      <c r="Q38" s="66"/>
    </row>
    <row r="39" spans="1:17" ht="15.75">
      <c r="A39" s="63">
        <v>25</v>
      </c>
      <c r="B39" s="64" t="s">
        <v>320</v>
      </c>
      <c r="C39" s="64"/>
      <c r="D39" s="64" t="s">
        <v>711</v>
      </c>
      <c r="E39" s="64" t="s">
        <v>130</v>
      </c>
      <c r="F39" s="65" t="s">
        <v>205</v>
      </c>
      <c r="G39" s="65" t="str">
        <f t="shared" si="0"/>
        <v>DI25_Spare DI</v>
      </c>
      <c r="H39" s="65"/>
      <c r="I39" t="s">
        <v>937</v>
      </c>
      <c r="J39"/>
      <c r="K39" s="64" t="s">
        <v>323</v>
      </c>
      <c r="L39" s="64"/>
      <c r="M39" s="64" t="s">
        <v>712</v>
      </c>
      <c r="N39" s="65" t="s">
        <v>713</v>
      </c>
      <c r="O39" s="65" t="str">
        <f t="shared" si="2"/>
        <v>DO25_Stitching Station Thread Cutter Cylinder Fwd SOV</v>
      </c>
      <c r="P39" s="65" t="s">
        <v>682</v>
      </c>
      <c r="Q39" s="66"/>
    </row>
    <row r="40" spans="1:17" ht="15.75">
      <c r="A40" s="63">
        <v>26</v>
      </c>
      <c r="B40" s="64" t="s">
        <v>326</v>
      </c>
      <c r="C40" s="64"/>
      <c r="D40" s="64" t="s">
        <v>714</v>
      </c>
      <c r="E40" s="64" t="s">
        <v>130</v>
      </c>
      <c r="F40" s="31" t="s">
        <v>715</v>
      </c>
      <c r="G40" s="65" t="str">
        <f t="shared" si="0"/>
        <v>DI26_Bag Stitching Motor Disconnector FB</v>
      </c>
      <c r="H40" s="65" t="s">
        <v>490</v>
      </c>
      <c r="I40" t="s">
        <v>938</v>
      </c>
      <c r="J40"/>
      <c r="K40" s="64" t="s">
        <v>329</v>
      </c>
      <c r="L40" s="64"/>
      <c r="M40" s="64" t="s">
        <v>716</v>
      </c>
      <c r="N40" s="65" t="s">
        <v>717</v>
      </c>
      <c r="O40" s="65" t="str">
        <f t="shared" si="2"/>
        <v>DO26_Stitching Station Thread Cutter Cylinder Rev SOV</v>
      </c>
      <c r="P40" s="65" t="s">
        <v>682</v>
      </c>
      <c r="Q40" s="66"/>
    </row>
    <row r="41" spans="1:17" ht="15.75">
      <c r="A41" s="63">
        <v>27</v>
      </c>
      <c r="B41" s="64" t="s">
        <v>332</v>
      </c>
      <c r="C41" s="64"/>
      <c r="D41" s="64" t="s">
        <v>718</v>
      </c>
      <c r="E41" s="64" t="s">
        <v>130</v>
      </c>
      <c r="F41" s="31" t="s">
        <v>719</v>
      </c>
      <c r="G41" s="65" t="str">
        <f t="shared" si="0"/>
        <v>DI27_Bagging Zone Dust Collector Disconnector FB</v>
      </c>
      <c r="H41" s="65" t="s">
        <v>490</v>
      </c>
      <c r="I41" t="s">
        <v>939</v>
      </c>
      <c r="J41"/>
      <c r="K41" s="64" t="s">
        <v>335</v>
      </c>
      <c r="L41" s="64"/>
      <c r="M41" s="64" t="s">
        <v>720</v>
      </c>
      <c r="N41" s="65" t="s">
        <v>721</v>
      </c>
      <c r="O41" s="65" t="str">
        <f t="shared" si="2"/>
        <v>DO27_Rejection Station Pusher Cyl Forward SOV</v>
      </c>
      <c r="P41" s="65" t="s">
        <v>682</v>
      </c>
      <c r="Q41" s="66"/>
    </row>
    <row r="42" spans="1:17" ht="15.75">
      <c r="A42" s="63">
        <v>28</v>
      </c>
      <c r="B42" s="64" t="s">
        <v>337</v>
      </c>
      <c r="C42" s="64"/>
      <c r="D42" s="64" t="s">
        <v>722</v>
      </c>
      <c r="E42" s="64" t="s">
        <v>130</v>
      </c>
      <c r="F42" s="65" t="s">
        <v>723</v>
      </c>
      <c r="G42" s="65" t="str">
        <f t="shared" si="0"/>
        <v>DI28_Electro Magnetic Coarse Vibro Disconnector FB</v>
      </c>
      <c r="H42" s="65" t="s">
        <v>490</v>
      </c>
      <c r="I42" t="s">
        <v>940</v>
      </c>
      <c r="J42"/>
      <c r="K42" s="64" t="s">
        <v>340</v>
      </c>
      <c r="L42" s="64"/>
      <c r="M42" s="64" t="s">
        <v>724</v>
      </c>
      <c r="N42" s="65" t="s">
        <v>725</v>
      </c>
      <c r="O42" s="65" t="str">
        <f t="shared" si="2"/>
        <v>DO28_Rejection Station Pusher Cyl Reverse SOV</v>
      </c>
      <c r="P42" s="65" t="s">
        <v>682</v>
      </c>
      <c r="Q42" s="66"/>
    </row>
    <row r="43" spans="1:17" ht="15.75">
      <c r="A43" s="63">
        <v>29</v>
      </c>
      <c r="B43" s="64" t="s">
        <v>342</v>
      </c>
      <c r="C43" s="64"/>
      <c r="D43" s="64" t="s">
        <v>726</v>
      </c>
      <c r="E43" s="64" t="s">
        <v>130</v>
      </c>
      <c r="F43" s="65" t="s">
        <v>727</v>
      </c>
      <c r="G43" s="65" t="str">
        <f t="shared" si="0"/>
        <v>DI29_Electro Magnetic Fine Vibro Disconnector FB</v>
      </c>
      <c r="H43" s="65" t="s">
        <v>490</v>
      </c>
      <c r="I43" t="s">
        <v>941</v>
      </c>
      <c r="J43"/>
      <c r="K43" s="64" t="s">
        <v>345</v>
      </c>
      <c r="L43" s="64"/>
      <c r="M43" s="64" t="s">
        <v>728</v>
      </c>
      <c r="N43" s="65" t="s">
        <v>227</v>
      </c>
      <c r="O43" s="65" t="str">
        <f t="shared" si="2"/>
        <v>DO29_Spare DO</v>
      </c>
      <c r="P43" s="65"/>
      <c r="Q43" s="66"/>
    </row>
    <row r="44" spans="1:17" ht="15.75">
      <c r="A44" s="63">
        <v>30</v>
      </c>
      <c r="B44" s="64" t="s">
        <v>347</v>
      </c>
      <c r="C44" s="64"/>
      <c r="D44" s="64" t="s">
        <v>729</v>
      </c>
      <c r="E44" s="64" t="s">
        <v>130</v>
      </c>
      <c r="F44" s="65" t="s">
        <v>730</v>
      </c>
      <c r="G44" s="65" t="str">
        <f t="shared" si="0"/>
        <v>DI30_Band Sealer Machine Disconnector FB</v>
      </c>
      <c r="H44" s="65" t="s">
        <v>490</v>
      </c>
      <c r="I44" t="s">
        <v>942</v>
      </c>
      <c r="J44"/>
      <c r="K44" s="64" t="s">
        <v>350</v>
      </c>
      <c r="L44" s="64"/>
      <c r="M44" s="64" t="s">
        <v>731</v>
      </c>
      <c r="N44" s="31" t="s">
        <v>732</v>
      </c>
      <c r="O44" s="65" t="str">
        <f t="shared" si="2"/>
        <v>DO30_Packing Zone Dust Collector PV01</v>
      </c>
      <c r="P44" s="65" t="s">
        <v>484</v>
      </c>
      <c r="Q44" s="66"/>
    </row>
    <row r="45" spans="1:17" ht="15.75">
      <c r="A45" s="63">
        <v>31</v>
      </c>
      <c r="B45" s="64" t="s">
        <v>352</v>
      </c>
      <c r="C45" s="64"/>
      <c r="D45" s="64" t="s">
        <v>733</v>
      </c>
      <c r="E45" s="64" t="s">
        <v>130</v>
      </c>
      <c r="F45" s="65" t="s">
        <v>205</v>
      </c>
      <c r="G45" s="65" t="str">
        <f t="shared" si="0"/>
        <v>DI31_Spare DI</v>
      </c>
      <c r="H45" s="109"/>
      <c r="I45" t="s">
        <v>943</v>
      </c>
      <c r="J45"/>
      <c r="K45" s="64" t="s">
        <v>354</v>
      </c>
      <c r="L45" s="64"/>
      <c r="M45" s="64" t="s">
        <v>734</v>
      </c>
      <c r="N45" s="31" t="s">
        <v>735</v>
      </c>
      <c r="O45" s="65" t="str">
        <f t="shared" si="2"/>
        <v>DO31_Packing Zone Dust Collector PV02</v>
      </c>
      <c r="P45" s="65" t="s">
        <v>484</v>
      </c>
      <c r="Q45" s="66"/>
    </row>
    <row r="46" spans="1:17" ht="15.75">
      <c r="A46" s="63">
        <v>32</v>
      </c>
      <c r="B46" s="64" t="s">
        <v>356</v>
      </c>
      <c r="C46" s="64"/>
      <c r="D46" s="64" t="s">
        <v>736</v>
      </c>
      <c r="E46" s="64" t="s">
        <v>130</v>
      </c>
      <c r="F46" s="65" t="s">
        <v>205</v>
      </c>
      <c r="G46" s="65" t="str">
        <f t="shared" si="0"/>
        <v>DI32_Spare DI</v>
      </c>
      <c r="H46" s="109"/>
      <c r="I46" t="s">
        <v>944</v>
      </c>
      <c r="J46"/>
      <c r="K46" s="64" t="s">
        <v>358</v>
      </c>
      <c r="L46" s="64"/>
      <c r="M46" s="64" t="s">
        <v>737</v>
      </c>
      <c r="N46" s="65" t="s">
        <v>227</v>
      </c>
      <c r="O46" s="65" t="str">
        <f t="shared" si="2"/>
        <v>DO32_Spare DO</v>
      </c>
      <c r="P46" s="65"/>
      <c r="Q46" s="66"/>
    </row>
    <row r="47" spans="1:17" ht="15.75">
      <c r="A47" s="63">
        <v>33</v>
      </c>
      <c r="B47" s="64" t="s">
        <v>360</v>
      </c>
      <c r="C47" s="64"/>
      <c r="D47" s="64" t="s">
        <v>738</v>
      </c>
      <c r="E47" s="64" t="s">
        <v>130</v>
      </c>
      <c r="F47" s="65" t="s">
        <v>739</v>
      </c>
      <c r="G47" s="65" t="str">
        <f t="shared" si="0"/>
        <v>DI33_Diverter Flap Cylinder FWD FB</v>
      </c>
      <c r="H47" s="65" t="s">
        <v>277</v>
      </c>
      <c r="I47" t="s">
        <v>945</v>
      </c>
      <c r="J47"/>
      <c r="K47" s="64" t="s">
        <v>740</v>
      </c>
      <c r="L47" s="64"/>
      <c r="M47" s="64" t="s">
        <v>741</v>
      </c>
      <c r="N47" s="65" t="s">
        <v>227</v>
      </c>
      <c r="O47" s="65" t="str">
        <f t="shared" si="2"/>
        <v>DO33_Spare DO</v>
      </c>
      <c r="P47" s="65"/>
      <c r="Q47" s="66"/>
    </row>
    <row r="48" spans="1:17" ht="15.75">
      <c r="A48" s="63">
        <v>34</v>
      </c>
      <c r="B48" s="64" t="s">
        <v>363</v>
      </c>
      <c r="C48" s="64"/>
      <c r="D48" s="64" t="s">
        <v>742</v>
      </c>
      <c r="E48" s="64" t="s">
        <v>130</v>
      </c>
      <c r="F48" s="65" t="s">
        <v>743</v>
      </c>
      <c r="G48" s="65" t="str">
        <f t="shared" si="0"/>
        <v>DI34_Diverter Flap Cylinder REV FB</v>
      </c>
      <c r="H48" s="65" t="s">
        <v>277</v>
      </c>
      <c r="I48" t="s">
        <v>946</v>
      </c>
      <c r="J48"/>
      <c r="K48" s="64" t="s">
        <v>744</v>
      </c>
      <c r="L48" s="64"/>
      <c r="M48" s="64" t="s">
        <v>745</v>
      </c>
      <c r="N48" s="65" t="s">
        <v>227</v>
      </c>
      <c r="O48" s="65" t="str">
        <f t="shared" si="2"/>
        <v>DO34_Spare DO</v>
      </c>
      <c r="P48" s="65"/>
      <c r="Q48" s="66"/>
    </row>
    <row r="49" spans="1:17" ht="15.75">
      <c r="A49" s="63">
        <v>35</v>
      </c>
      <c r="B49" s="64" t="s">
        <v>366</v>
      </c>
      <c r="C49" s="64"/>
      <c r="D49" s="64" t="s">
        <v>746</v>
      </c>
      <c r="E49" s="64" t="s">
        <v>130</v>
      </c>
      <c r="F49" s="65" t="s">
        <v>747</v>
      </c>
      <c r="G49" s="65" t="str">
        <f t="shared" si="0"/>
        <v xml:space="preserve">DI35_Filling Station Bag Clamp-1 Open FB </v>
      </c>
      <c r="H49" s="65" t="s">
        <v>277</v>
      </c>
      <c r="I49" t="s">
        <v>947</v>
      </c>
      <c r="J49"/>
      <c r="K49" s="64" t="s">
        <v>748</v>
      </c>
      <c r="L49" s="64"/>
      <c r="M49" s="64" t="s">
        <v>749</v>
      </c>
      <c r="N49" s="65" t="s">
        <v>227</v>
      </c>
      <c r="O49" s="65" t="str">
        <f t="shared" si="2"/>
        <v>DO35_Spare DO</v>
      </c>
      <c r="P49" s="65"/>
      <c r="Q49" s="66"/>
    </row>
    <row r="50" spans="1:17" ht="15.75">
      <c r="A50" s="63">
        <v>36</v>
      </c>
      <c r="B50" s="64" t="s">
        <v>369</v>
      </c>
      <c r="C50" s="64"/>
      <c r="D50" s="64" t="s">
        <v>750</v>
      </c>
      <c r="E50" s="64" t="s">
        <v>130</v>
      </c>
      <c r="F50" s="65" t="s">
        <v>751</v>
      </c>
      <c r="G50" s="65" t="str">
        <f t="shared" si="0"/>
        <v>DI36_Filling Station Bag Clamp-1 CloseFB</v>
      </c>
      <c r="H50" s="65" t="s">
        <v>277</v>
      </c>
      <c r="I50" t="s">
        <v>948</v>
      </c>
      <c r="J50"/>
      <c r="K50" s="64" t="s">
        <v>752</v>
      </c>
      <c r="L50" s="64"/>
      <c r="M50" s="64" t="s">
        <v>753</v>
      </c>
      <c r="N50" s="65" t="s">
        <v>227</v>
      </c>
      <c r="O50" s="65" t="str">
        <f t="shared" si="2"/>
        <v>DO36_Spare DO</v>
      </c>
      <c r="P50" s="65"/>
      <c r="Q50" s="66"/>
    </row>
    <row r="51" spans="1:17" ht="15.75">
      <c r="A51" s="63">
        <v>37</v>
      </c>
      <c r="B51" s="64" t="s">
        <v>371</v>
      </c>
      <c r="C51" s="64"/>
      <c r="D51" s="64" t="s">
        <v>754</v>
      </c>
      <c r="E51" s="64" t="s">
        <v>130</v>
      </c>
      <c r="F51" s="65" t="s">
        <v>755</v>
      </c>
      <c r="G51" s="65" t="str">
        <f t="shared" si="0"/>
        <v>DI37_Filling Station Bag Clamp-2 Open FB</v>
      </c>
      <c r="H51" s="65" t="s">
        <v>277</v>
      </c>
      <c r="I51" t="s">
        <v>949</v>
      </c>
      <c r="J51"/>
      <c r="K51" s="64" t="s">
        <v>756</v>
      </c>
      <c r="L51" s="64"/>
      <c r="M51" s="64" t="s">
        <v>757</v>
      </c>
      <c r="N51" s="65" t="s">
        <v>227</v>
      </c>
      <c r="O51" s="65" t="str">
        <f t="shared" si="2"/>
        <v>DO37_Spare DO</v>
      </c>
      <c r="P51" s="65"/>
      <c r="Q51" s="66"/>
    </row>
    <row r="52" spans="1:17" ht="15.75">
      <c r="A52" s="63">
        <v>38</v>
      </c>
      <c r="B52" s="64" t="s">
        <v>373</v>
      </c>
      <c r="C52" s="64"/>
      <c r="D52" s="64" t="s">
        <v>758</v>
      </c>
      <c r="E52" s="64" t="s">
        <v>130</v>
      </c>
      <c r="F52" s="65" t="s">
        <v>759</v>
      </c>
      <c r="G52" s="65" t="str">
        <f t="shared" si="0"/>
        <v>DI38_Filling Station Bag Clamp-2 Close FB</v>
      </c>
      <c r="H52" s="65" t="s">
        <v>277</v>
      </c>
      <c r="I52" t="s">
        <v>950</v>
      </c>
      <c r="J52"/>
      <c r="K52" s="64" t="s">
        <v>760</v>
      </c>
      <c r="L52" s="64"/>
      <c r="M52" s="64" t="s">
        <v>761</v>
      </c>
      <c r="N52" s="65" t="s">
        <v>227</v>
      </c>
      <c r="O52" s="65" t="str">
        <f t="shared" si="2"/>
        <v>DO38_Spare DO</v>
      </c>
      <c r="P52" s="65"/>
      <c r="Q52" s="66"/>
    </row>
    <row r="53" spans="1:17" ht="15.75">
      <c r="A53" s="63">
        <v>39</v>
      </c>
      <c r="B53" s="64" t="s">
        <v>376</v>
      </c>
      <c r="C53" s="64"/>
      <c r="D53" s="64" t="s">
        <v>762</v>
      </c>
      <c r="E53" s="64" t="s">
        <v>130</v>
      </c>
      <c r="F53" s="65" t="s">
        <v>763</v>
      </c>
      <c r="G53" s="65" t="str">
        <f t="shared" si="0"/>
        <v>DI39_Filling Station Bag Side Flap-1 Open FB</v>
      </c>
      <c r="H53" s="65" t="s">
        <v>277</v>
      </c>
      <c r="I53" t="s">
        <v>951</v>
      </c>
      <c r="J53"/>
      <c r="K53" s="64" t="s">
        <v>764</v>
      </c>
      <c r="L53" s="64"/>
      <c r="M53" s="64" t="s">
        <v>765</v>
      </c>
      <c r="N53" s="65" t="s">
        <v>227</v>
      </c>
      <c r="O53" s="65" t="str">
        <f t="shared" si="2"/>
        <v>DO39_Spare DO</v>
      </c>
      <c r="P53" s="65"/>
      <c r="Q53" s="66"/>
    </row>
    <row r="54" spans="1:17" ht="15.75">
      <c r="A54" s="63">
        <v>40</v>
      </c>
      <c r="B54" s="64" t="s">
        <v>379</v>
      </c>
      <c r="C54" s="64"/>
      <c r="D54" s="64" t="s">
        <v>766</v>
      </c>
      <c r="E54" s="64" t="s">
        <v>130</v>
      </c>
      <c r="F54" s="65" t="s">
        <v>767</v>
      </c>
      <c r="G54" s="65" t="str">
        <f t="shared" si="0"/>
        <v>DI40_Filling Station Bag Side Flap-1 Close FB</v>
      </c>
      <c r="H54" s="65" t="s">
        <v>277</v>
      </c>
      <c r="I54" t="s">
        <v>952</v>
      </c>
      <c r="J54"/>
      <c r="K54" s="64" t="s">
        <v>768</v>
      </c>
      <c r="L54" s="64"/>
      <c r="M54" s="64" t="s">
        <v>769</v>
      </c>
      <c r="N54" s="65" t="s">
        <v>227</v>
      </c>
      <c r="O54" s="65" t="str">
        <f t="shared" si="2"/>
        <v>DO40_Spare DO</v>
      </c>
      <c r="P54" s="65"/>
      <c r="Q54" s="66"/>
    </row>
    <row r="55" spans="1:17" ht="15.75">
      <c r="A55" s="63">
        <v>41</v>
      </c>
      <c r="B55" s="64" t="s">
        <v>382</v>
      </c>
      <c r="C55" s="64"/>
      <c r="D55" s="64" t="s">
        <v>770</v>
      </c>
      <c r="E55" s="64" t="s">
        <v>130</v>
      </c>
      <c r="F55" s="65" t="s">
        <v>771</v>
      </c>
      <c r="G55" s="65" t="str">
        <f t="shared" si="0"/>
        <v>DI41_Filling Station Bag Side Flap-2 Open FB</v>
      </c>
      <c r="H55" s="65" t="s">
        <v>277</v>
      </c>
      <c r="I55" t="s">
        <v>953</v>
      </c>
      <c r="J55"/>
      <c r="K55" s="64"/>
      <c r="L55" s="64"/>
      <c r="M55" s="64"/>
      <c r="N55" s="65"/>
      <c r="O55" s="65"/>
      <c r="P55" s="65"/>
      <c r="Q55" s="66"/>
    </row>
    <row r="56" spans="1:17" ht="15.75">
      <c r="A56" s="63">
        <v>42</v>
      </c>
      <c r="B56" s="64" t="s">
        <v>384</v>
      </c>
      <c r="C56" s="64"/>
      <c r="D56" s="64" t="s">
        <v>772</v>
      </c>
      <c r="E56" s="64" t="s">
        <v>130</v>
      </c>
      <c r="F56" s="65" t="s">
        <v>773</v>
      </c>
      <c r="G56" s="65" t="str">
        <f t="shared" si="0"/>
        <v>DI42_Filling Station Bag Side Flap-2 Close FB</v>
      </c>
      <c r="H56" s="65" t="s">
        <v>277</v>
      </c>
      <c r="I56" t="s">
        <v>954</v>
      </c>
      <c r="J56"/>
      <c r="K56" s="64"/>
      <c r="L56" s="64"/>
      <c r="M56" s="64"/>
      <c r="N56" s="65"/>
      <c r="O56" s="65"/>
      <c r="P56" s="65"/>
      <c r="Q56" s="66"/>
    </row>
    <row r="57" spans="1:17" ht="15.75">
      <c r="A57" s="63">
        <v>43</v>
      </c>
      <c r="B57" s="64" t="s">
        <v>388</v>
      </c>
      <c r="C57" s="64"/>
      <c r="D57" s="64" t="s">
        <v>774</v>
      </c>
      <c r="E57" s="64" t="s">
        <v>130</v>
      </c>
      <c r="F57" s="65" t="s">
        <v>775</v>
      </c>
      <c r="G57" s="65" t="str">
        <f t="shared" si="0"/>
        <v>DI43_Filling Station Bag Present Sensor</v>
      </c>
      <c r="H57" s="65" t="s">
        <v>776</v>
      </c>
      <c r="I57" t="s">
        <v>955</v>
      </c>
      <c r="J57"/>
      <c r="K57" s="64"/>
      <c r="L57" s="64"/>
      <c r="M57" s="64"/>
      <c r="N57" s="65"/>
      <c r="O57" s="65"/>
      <c r="P57" s="65"/>
      <c r="Q57" s="66"/>
    </row>
    <row r="58" spans="1:17" ht="15.75">
      <c r="A58" s="63">
        <v>44</v>
      </c>
      <c r="B58" s="64" t="s">
        <v>391</v>
      </c>
      <c r="C58" s="64"/>
      <c r="D58" s="64" t="s">
        <v>777</v>
      </c>
      <c r="E58" s="64" t="s">
        <v>130</v>
      </c>
      <c r="F58" s="65" t="s">
        <v>778</v>
      </c>
      <c r="G58" s="65" t="str">
        <f t="shared" si="0"/>
        <v xml:space="preserve">DI44_Filling Station Bag Clamp Foot Switch </v>
      </c>
      <c r="H58" s="65" t="s">
        <v>779</v>
      </c>
      <c r="I58" t="s">
        <v>956</v>
      </c>
      <c r="J58"/>
      <c r="K58" s="64"/>
      <c r="L58" s="64"/>
      <c r="M58" s="64"/>
      <c r="N58" s="65"/>
      <c r="O58" s="65"/>
      <c r="P58" s="65"/>
      <c r="Q58" s="66"/>
    </row>
    <row r="59" spans="1:17" ht="15.75">
      <c r="A59" s="63">
        <v>45</v>
      </c>
      <c r="B59" s="64" t="s">
        <v>394</v>
      </c>
      <c r="C59" s="64"/>
      <c r="D59" s="64" t="s">
        <v>780</v>
      </c>
      <c r="E59" s="64" t="s">
        <v>130</v>
      </c>
      <c r="F59" s="65" t="s">
        <v>781</v>
      </c>
      <c r="G59" s="65" t="str">
        <f t="shared" si="0"/>
        <v>DI45_Filling Station Filling Start/Stop PB</v>
      </c>
      <c r="H59" s="65" t="s">
        <v>782</v>
      </c>
      <c r="I59" t="s">
        <v>957</v>
      </c>
      <c r="J59"/>
      <c r="K59" s="64"/>
      <c r="L59" s="64"/>
      <c r="M59" s="64"/>
      <c r="N59" s="65"/>
      <c r="O59" s="65"/>
      <c r="P59" s="65"/>
      <c r="Q59" s="66"/>
    </row>
    <row r="60" spans="1:17" ht="15.75">
      <c r="A60" s="63">
        <v>46</v>
      </c>
      <c r="B60" s="64" t="s">
        <v>397</v>
      </c>
      <c r="C60" s="64"/>
      <c r="D60" s="64" t="s">
        <v>783</v>
      </c>
      <c r="E60" s="64" t="s">
        <v>130</v>
      </c>
      <c r="F60" s="65" t="s">
        <v>784</v>
      </c>
      <c r="G60" s="65" t="str">
        <f t="shared" si="0"/>
        <v>DI46_Filling Station Conveyor Up FB</v>
      </c>
      <c r="H60" s="65" t="s">
        <v>277</v>
      </c>
      <c r="I60" t="s">
        <v>958</v>
      </c>
      <c r="J60"/>
      <c r="K60" s="64"/>
      <c r="L60" s="64"/>
      <c r="M60" s="64"/>
      <c r="N60" s="65"/>
      <c r="O60" s="65"/>
      <c r="P60" s="65"/>
      <c r="Q60" s="66"/>
    </row>
    <row r="61" spans="1:17" ht="15.75">
      <c r="A61" s="63">
        <v>47</v>
      </c>
      <c r="B61" s="64" t="s">
        <v>400</v>
      </c>
      <c r="C61" s="64"/>
      <c r="D61" s="64" t="s">
        <v>785</v>
      </c>
      <c r="E61" s="64" t="s">
        <v>130</v>
      </c>
      <c r="F61" s="65" t="s">
        <v>786</v>
      </c>
      <c r="G61" s="65" t="str">
        <f t="shared" si="0"/>
        <v>DI47_Filling Station Conveyor Dn FB</v>
      </c>
      <c r="H61" s="65" t="s">
        <v>277</v>
      </c>
      <c r="I61" t="s">
        <v>959</v>
      </c>
      <c r="J61"/>
      <c r="K61" s="64"/>
      <c r="L61" s="64"/>
      <c r="M61" s="64"/>
      <c r="N61" s="65"/>
      <c r="O61" s="65"/>
      <c r="P61" s="65"/>
      <c r="Q61" s="66"/>
    </row>
    <row r="62" spans="1:17" ht="15.75">
      <c r="A62" s="63">
        <v>48</v>
      </c>
      <c r="B62" s="64" t="s">
        <v>403</v>
      </c>
      <c r="C62" s="64"/>
      <c r="D62" s="64" t="s">
        <v>787</v>
      </c>
      <c r="E62" s="64" t="s">
        <v>130</v>
      </c>
      <c r="F62" s="65" t="s">
        <v>205</v>
      </c>
      <c r="G62" s="65" t="str">
        <f t="shared" si="0"/>
        <v>DI48_Spare DI</v>
      </c>
      <c r="H62" s="65"/>
      <c r="I62" t="s">
        <v>960</v>
      </c>
      <c r="J62"/>
      <c r="K62" s="64"/>
      <c r="L62" s="64"/>
      <c r="M62" s="64"/>
      <c r="N62" s="65"/>
      <c r="O62" s="65"/>
      <c r="P62" s="65"/>
      <c r="Q62" s="66"/>
    </row>
    <row r="63" spans="1:17" ht="15.75">
      <c r="A63" s="63">
        <v>49</v>
      </c>
      <c r="B63" s="64" t="s">
        <v>406</v>
      </c>
      <c r="C63" s="64"/>
      <c r="D63" s="64" t="s">
        <v>788</v>
      </c>
      <c r="E63" s="64" t="s">
        <v>130</v>
      </c>
      <c r="F63" s="65" t="s">
        <v>789</v>
      </c>
      <c r="G63" s="65" t="str">
        <f t="shared" si="0"/>
        <v xml:space="preserve">DI49_Sealing Station Bag Entry Sensor </v>
      </c>
      <c r="H63" s="65" t="s">
        <v>776</v>
      </c>
      <c r="I63" s="65"/>
      <c r="J63" s="64"/>
      <c r="K63" s="64"/>
      <c r="L63" s="64"/>
      <c r="M63" s="64"/>
      <c r="N63" s="65"/>
      <c r="O63" s="65"/>
      <c r="P63" s="65"/>
      <c r="Q63" s="66"/>
    </row>
    <row r="64" spans="1:17" ht="15.75">
      <c r="A64" s="63">
        <v>50</v>
      </c>
      <c r="B64" s="64" t="s">
        <v>408</v>
      </c>
      <c r="C64" s="64"/>
      <c r="D64" s="64" t="s">
        <v>790</v>
      </c>
      <c r="E64" s="64" t="s">
        <v>130</v>
      </c>
      <c r="F64" s="65" t="s">
        <v>791</v>
      </c>
      <c r="G64" s="65" t="str">
        <f t="shared" si="0"/>
        <v>DI50_Sealing Station Bag Exit Sensor</v>
      </c>
      <c r="H64" s="65" t="s">
        <v>776</v>
      </c>
      <c r="I64" s="65"/>
      <c r="J64" s="64"/>
      <c r="K64" s="64"/>
      <c r="L64" s="64"/>
      <c r="M64" s="64"/>
      <c r="N64" s="65"/>
      <c r="O64" s="65"/>
      <c r="P64" s="65"/>
      <c r="Q64" s="66"/>
    </row>
    <row r="65" spans="1:17" ht="15.75">
      <c r="A65" s="63">
        <v>51</v>
      </c>
      <c r="B65" s="64" t="s">
        <v>412</v>
      </c>
      <c r="C65" s="64"/>
      <c r="D65" s="64" t="s">
        <v>792</v>
      </c>
      <c r="E65" s="64" t="s">
        <v>130</v>
      </c>
      <c r="F65" s="65" t="s">
        <v>793</v>
      </c>
      <c r="G65" s="65" t="str">
        <f t="shared" si="0"/>
        <v>DI51_Sealing Station Band Sealer Machine Ready</v>
      </c>
      <c r="H65" s="65" t="s">
        <v>521</v>
      </c>
      <c r="I65" s="65"/>
      <c r="J65" s="64"/>
      <c r="K65" s="64"/>
      <c r="L65" s="64"/>
      <c r="M65" s="64"/>
      <c r="N65" s="65"/>
      <c r="O65" s="65"/>
      <c r="P65" s="65"/>
      <c r="Q65" s="66"/>
    </row>
    <row r="66" spans="1:17" ht="15.75">
      <c r="A66" s="63">
        <v>52</v>
      </c>
      <c r="B66" s="64" t="s">
        <v>415</v>
      </c>
      <c r="C66" s="64"/>
      <c r="D66" s="64" t="s">
        <v>794</v>
      </c>
      <c r="E66" s="64" t="s">
        <v>130</v>
      </c>
      <c r="F66" s="65" t="s">
        <v>795</v>
      </c>
      <c r="G66" s="65" t="str">
        <f t="shared" si="0"/>
        <v>DI52_Sealing Station Band Sealer Machine Running</v>
      </c>
      <c r="H66" s="65" t="s">
        <v>521</v>
      </c>
      <c r="I66" s="65"/>
      <c r="J66" s="64"/>
      <c r="K66" s="64"/>
      <c r="L66" s="64"/>
      <c r="M66" s="64"/>
      <c r="N66" s="65"/>
      <c r="O66" s="65"/>
      <c r="P66" s="65"/>
      <c r="Q66" s="66"/>
    </row>
    <row r="67" spans="1:17" ht="15.75">
      <c r="A67" s="63">
        <v>53</v>
      </c>
      <c r="B67" s="64" t="s">
        <v>418</v>
      </c>
      <c r="C67" s="64"/>
      <c r="D67" s="64" t="s">
        <v>796</v>
      </c>
      <c r="E67" s="64" t="s">
        <v>130</v>
      </c>
      <c r="F67" s="65" t="s">
        <v>797</v>
      </c>
      <c r="G67" s="65" t="str">
        <f t="shared" si="0"/>
        <v>DI53_Sealing Station Band Sealer Machine Temperature OK</v>
      </c>
      <c r="H67" s="65" t="s">
        <v>521</v>
      </c>
      <c r="I67" s="65"/>
      <c r="J67" s="64"/>
      <c r="K67" s="64"/>
      <c r="L67" s="64"/>
      <c r="M67" s="64"/>
      <c r="N67" s="65"/>
      <c r="O67" s="65"/>
      <c r="P67" s="65"/>
      <c r="Q67" s="66"/>
    </row>
    <row r="68" spans="1:17" ht="15.75">
      <c r="A68" s="63">
        <v>54</v>
      </c>
      <c r="B68" s="64" t="s">
        <v>421</v>
      </c>
      <c r="C68" s="64"/>
      <c r="D68" s="64" t="s">
        <v>798</v>
      </c>
      <c r="E68" s="64" t="s">
        <v>130</v>
      </c>
      <c r="F68" s="65" t="s">
        <v>799</v>
      </c>
      <c r="G68" s="65" t="str">
        <f t="shared" si="0"/>
        <v>DI54_Sealing Conveyor Start Foot Switch</v>
      </c>
      <c r="H68" s="65" t="s">
        <v>779</v>
      </c>
      <c r="I68" s="65"/>
      <c r="J68" s="64"/>
      <c r="K68" s="64"/>
      <c r="L68" s="64"/>
      <c r="M68" s="64"/>
      <c r="N68" s="65"/>
      <c r="O68" s="65"/>
      <c r="P68" s="65"/>
      <c r="Q68" s="66"/>
    </row>
    <row r="69" spans="1:17" ht="15.75">
      <c r="A69" s="63">
        <v>55</v>
      </c>
      <c r="B69" s="64" t="s">
        <v>423</v>
      </c>
      <c r="C69" s="64"/>
      <c r="D69" s="64" t="s">
        <v>800</v>
      </c>
      <c r="E69" s="64" t="s">
        <v>130</v>
      </c>
      <c r="F69" s="109" t="s">
        <v>205</v>
      </c>
      <c r="G69" s="65" t="str">
        <f t="shared" si="0"/>
        <v>DI55_Spare DI</v>
      </c>
      <c r="H69" s="65"/>
      <c r="I69" s="65"/>
      <c r="J69" s="64"/>
      <c r="K69" s="64"/>
      <c r="L69" s="64"/>
      <c r="M69" s="64"/>
      <c r="N69" s="65"/>
      <c r="O69" s="65"/>
      <c r="P69" s="65"/>
      <c r="Q69" s="66"/>
    </row>
    <row r="70" spans="1:17" ht="15.75">
      <c r="A70" s="63">
        <v>56</v>
      </c>
      <c r="B70" s="64" t="s">
        <v>425</v>
      </c>
      <c r="C70" s="64"/>
      <c r="D70" s="64" t="s">
        <v>801</v>
      </c>
      <c r="E70" s="64" t="s">
        <v>130</v>
      </c>
      <c r="F70" s="65" t="s">
        <v>802</v>
      </c>
      <c r="G70" s="65" t="str">
        <f t="shared" si="0"/>
        <v>DI56_Stitching Station Cycle Start Foot Switch</v>
      </c>
      <c r="H70" s="65" t="s">
        <v>779</v>
      </c>
      <c r="I70" s="65"/>
      <c r="J70" s="64"/>
      <c r="K70" s="64"/>
      <c r="L70" s="64"/>
      <c r="M70" s="64"/>
      <c r="N70" s="65"/>
      <c r="O70" s="65"/>
      <c r="P70" s="65"/>
      <c r="Q70" s="66"/>
    </row>
    <row r="71" spans="1:17" ht="15.75">
      <c r="A71" s="63">
        <v>57</v>
      </c>
      <c r="B71" s="64" t="s">
        <v>803</v>
      </c>
      <c r="C71" s="64"/>
      <c r="D71" s="64" t="s">
        <v>804</v>
      </c>
      <c r="E71" s="64" t="s">
        <v>130</v>
      </c>
      <c r="F71" s="65" t="s">
        <v>805</v>
      </c>
      <c r="G71" s="65" t="str">
        <f t="shared" ref="G71:G102" si="3">CONCATENATE(B71,E71,F71)</f>
        <v xml:space="preserve">DI57_Stitching Station Bag Entry Sensor </v>
      </c>
      <c r="H71" s="65" t="s">
        <v>776</v>
      </c>
      <c r="I71" s="65"/>
      <c r="J71" s="64"/>
      <c r="K71" s="64"/>
      <c r="L71" s="64"/>
      <c r="M71" s="64"/>
      <c r="N71" s="65"/>
      <c r="O71" s="65"/>
      <c r="P71" s="65"/>
      <c r="Q71" s="66"/>
    </row>
    <row r="72" spans="1:17" ht="15.75">
      <c r="A72" s="63">
        <v>58</v>
      </c>
      <c r="B72" s="64" t="s">
        <v>806</v>
      </c>
      <c r="C72" s="64"/>
      <c r="D72" s="64" t="s">
        <v>807</v>
      </c>
      <c r="E72" s="64" t="s">
        <v>130</v>
      </c>
      <c r="F72" s="65" t="s">
        <v>808</v>
      </c>
      <c r="G72" s="65" t="str">
        <f t="shared" si="3"/>
        <v>DI58_Stitching Station Bag Exit Sensor</v>
      </c>
      <c r="H72" s="65" t="s">
        <v>776</v>
      </c>
      <c r="I72" s="65"/>
      <c r="J72" s="64"/>
      <c r="K72" s="64"/>
      <c r="L72" s="64"/>
      <c r="M72" s="64"/>
      <c r="N72" s="65"/>
      <c r="O72" s="65"/>
      <c r="P72" s="65"/>
      <c r="Q72" s="66"/>
    </row>
    <row r="73" spans="1:17" ht="15.75">
      <c r="A73" s="63">
        <v>59</v>
      </c>
      <c r="B73" s="64" t="s">
        <v>809</v>
      </c>
      <c r="C73" s="64"/>
      <c r="D73" s="64" t="s">
        <v>810</v>
      </c>
      <c r="E73" s="64" t="s">
        <v>130</v>
      </c>
      <c r="F73" s="65" t="s">
        <v>811</v>
      </c>
      <c r="G73" s="65" t="str">
        <f t="shared" si="3"/>
        <v>DI59_Stitching Station Thread Cutter Cylinder Fwd FB</v>
      </c>
      <c r="H73" s="65" t="s">
        <v>277</v>
      </c>
      <c r="I73" s="65"/>
      <c r="J73" s="64"/>
      <c r="K73" s="64"/>
      <c r="L73" s="64"/>
      <c r="M73" s="64"/>
      <c r="N73" s="65"/>
      <c r="O73" s="65"/>
      <c r="P73" s="65"/>
      <c r="Q73" s="66"/>
    </row>
    <row r="74" spans="1:17" ht="15.75">
      <c r="A74" s="63">
        <v>60</v>
      </c>
      <c r="B74" s="64" t="s">
        <v>812</v>
      </c>
      <c r="C74" s="64"/>
      <c r="D74" s="64" t="s">
        <v>813</v>
      </c>
      <c r="E74" s="64" t="s">
        <v>130</v>
      </c>
      <c r="F74" s="65" t="s">
        <v>814</v>
      </c>
      <c r="G74" s="65" t="str">
        <f t="shared" si="3"/>
        <v>DI60_Stitching Station Thread Cutter Cylinder Rev FB</v>
      </c>
      <c r="H74" s="65" t="s">
        <v>277</v>
      </c>
      <c r="I74" s="65"/>
      <c r="J74" s="64"/>
      <c r="K74" s="64"/>
      <c r="L74" s="64"/>
      <c r="M74" s="64"/>
      <c r="N74" s="65"/>
      <c r="O74" s="65"/>
      <c r="P74" s="65"/>
      <c r="Q74" s="66"/>
    </row>
    <row r="75" spans="1:17" ht="15.75">
      <c r="A75" s="63">
        <v>61</v>
      </c>
      <c r="B75" s="64" t="s">
        <v>815</v>
      </c>
      <c r="C75" s="64"/>
      <c r="D75" s="64" t="s">
        <v>816</v>
      </c>
      <c r="E75" s="64" t="s">
        <v>130</v>
      </c>
      <c r="F75" s="65" t="s">
        <v>817</v>
      </c>
      <c r="G75" s="65" t="str">
        <f t="shared" si="3"/>
        <v>DI61_Stitching Station Thread breake Detection Sensor-1</v>
      </c>
      <c r="H75" s="65" t="s">
        <v>818</v>
      </c>
      <c r="I75" s="65"/>
      <c r="J75" s="64"/>
      <c r="K75" s="64"/>
      <c r="L75" s="64"/>
      <c r="M75" s="64"/>
      <c r="N75" s="65"/>
      <c r="O75" s="65"/>
      <c r="P75" s="65"/>
      <c r="Q75" s="66"/>
    </row>
    <row r="76" spans="1:17" ht="15.75">
      <c r="A76" s="63">
        <v>62</v>
      </c>
      <c r="B76" s="64" t="s">
        <v>819</v>
      </c>
      <c r="C76" s="64"/>
      <c r="D76" s="64" t="s">
        <v>820</v>
      </c>
      <c r="E76" s="64" t="s">
        <v>130</v>
      </c>
      <c r="F76" s="65" t="s">
        <v>821</v>
      </c>
      <c r="G76" s="65" t="str">
        <f t="shared" si="3"/>
        <v>DI62_Stitching Station Thread breake Detection Sensor-2</v>
      </c>
      <c r="H76" s="65" t="s">
        <v>818</v>
      </c>
      <c r="I76" s="65"/>
      <c r="J76" s="64"/>
      <c r="K76" s="64"/>
      <c r="L76" s="64"/>
      <c r="M76" s="64"/>
      <c r="N76" s="65"/>
      <c r="O76" s="65"/>
      <c r="P76" s="65"/>
      <c r="Q76" s="66"/>
    </row>
    <row r="77" spans="1:17" ht="15.75">
      <c r="A77" s="63">
        <v>63</v>
      </c>
      <c r="B77" s="64" t="s">
        <v>822</v>
      </c>
      <c r="C77" s="64"/>
      <c r="D77" s="64" t="s">
        <v>823</v>
      </c>
      <c r="E77" s="64" t="s">
        <v>130</v>
      </c>
      <c r="F77" s="181" t="s">
        <v>824</v>
      </c>
      <c r="G77" s="181" t="str">
        <f t="shared" si="3"/>
        <v>DI63_Stitching Station Stitching Start Sensor</v>
      </c>
      <c r="H77" s="65" t="s">
        <v>776</v>
      </c>
      <c r="I77" s="65"/>
      <c r="J77" s="64"/>
      <c r="K77" s="64"/>
      <c r="L77" s="64"/>
      <c r="M77" s="64"/>
      <c r="N77" s="65"/>
      <c r="O77" s="65"/>
      <c r="P77" s="65"/>
      <c r="Q77" s="66"/>
    </row>
    <row r="78" spans="1:17" ht="15.75">
      <c r="A78" s="63">
        <v>64</v>
      </c>
      <c r="B78" s="64" t="s">
        <v>825</v>
      </c>
      <c r="C78" s="64"/>
      <c r="D78" s="64" t="s">
        <v>826</v>
      </c>
      <c r="E78" s="64" t="s">
        <v>130</v>
      </c>
      <c r="F78" s="181" t="s">
        <v>827</v>
      </c>
      <c r="G78" s="181" t="str">
        <f t="shared" si="3"/>
        <v>DI64_Stitching Station Stitching StopSensor</v>
      </c>
      <c r="H78" s="65" t="s">
        <v>776</v>
      </c>
      <c r="I78" s="65"/>
      <c r="J78" s="64"/>
      <c r="K78" s="64"/>
      <c r="L78" s="64"/>
      <c r="M78" s="64"/>
      <c r="N78" s="65"/>
      <c r="O78" s="65"/>
      <c r="P78" s="65"/>
      <c r="Q78" s="66"/>
    </row>
    <row r="79" spans="1:17" ht="15.75">
      <c r="A79" s="63">
        <v>65</v>
      </c>
      <c r="B79" s="64" t="s">
        <v>828</v>
      </c>
      <c r="C79" s="64"/>
      <c r="D79" s="64" t="s">
        <v>829</v>
      </c>
      <c r="E79" s="64" t="s">
        <v>130</v>
      </c>
      <c r="F79" s="65" t="s">
        <v>830</v>
      </c>
      <c r="G79" s="65" t="str">
        <f t="shared" si="3"/>
        <v xml:space="preserve">DI65_Tilting Station Bag Present Sensor </v>
      </c>
      <c r="H79" s="65" t="s">
        <v>776</v>
      </c>
      <c r="I79" s="65"/>
      <c r="J79" s="64"/>
      <c r="K79" s="64"/>
      <c r="L79" s="64"/>
      <c r="M79" s="64"/>
      <c r="N79" s="65"/>
      <c r="O79" s="65"/>
      <c r="P79" s="65"/>
      <c r="Q79" s="66"/>
    </row>
    <row r="80" spans="1:17" ht="15.75">
      <c r="A80" s="63">
        <v>66</v>
      </c>
      <c r="B80" s="64" t="s">
        <v>831</v>
      </c>
      <c r="C80" s="64"/>
      <c r="D80" s="64" t="s">
        <v>832</v>
      </c>
      <c r="E80" s="64" t="s">
        <v>130</v>
      </c>
      <c r="F80" s="65" t="s">
        <v>833</v>
      </c>
      <c r="G80" s="65" t="str">
        <f t="shared" si="3"/>
        <v xml:space="preserve">DI66_Bag Flattner Station Bag Entry Sensor </v>
      </c>
      <c r="H80" s="65" t="s">
        <v>776</v>
      </c>
      <c r="I80" s="65"/>
      <c r="J80" s="64"/>
      <c r="K80" s="64"/>
      <c r="L80" s="64"/>
      <c r="M80" s="64"/>
      <c r="N80" s="65"/>
      <c r="O80" s="65"/>
      <c r="P80" s="65"/>
      <c r="Q80" s="66"/>
    </row>
    <row r="81" spans="1:17" ht="15.75">
      <c r="A81" s="63">
        <v>67</v>
      </c>
      <c r="B81" s="64" t="s">
        <v>834</v>
      </c>
      <c r="C81" s="64"/>
      <c r="D81" s="64" t="s">
        <v>835</v>
      </c>
      <c r="E81" s="64" t="s">
        <v>130</v>
      </c>
      <c r="F81" s="65" t="s">
        <v>836</v>
      </c>
      <c r="G81" s="65" t="str">
        <f t="shared" si="3"/>
        <v>DI67_Bag Flattner Station Bag Exit Sensor</v>
      </c>
      <c r="H81" s="65" t="s">
        <v>776</v>
      </c>
      <c r="I81" s="65"/>
      <c r="J81" s="64"/>
      <c r="K81" s="64"/>
      <c r="L81" s="64"/>
      <c r="M81" s="64"/>
      <c r="N81" s="65"/>
      <c r="O81" s="65"/>
      <c r="P81" s="65"/>
      <c r="Q81" s="66"/>
    </row>
    <row r="82" spans="1:17" ht="15.75">
      <c r="A82" s="63">
        <v>68</v>
      </c>
      <c r="B82" s="64" t="s">
        <v>837</v>
      </c>
      <c r="C82" s="64"/>
      <c r="D82" s="64" t="s">
        <v>838</v>
      </c>
      <c r="E82" s="64" t="s">
        <v>130</v>
      </c>
      <c r="F82" s="65" t="s">
        <v>205</v>
      </c>
      <c r="G82" s="65" t="str">
        <f t="shared" si="3"/>
        <v>DI68_Spare DI</v>
      </c>
      <c r="H82" s="65"/>
      <c r="I82" s="65"/>
      <c r="J82" s="64"/>
      <c r="K82" s="64"/>
      <c r="L82" s="64"/>
      <c r="M82" s="64"/>
      <c r="N82" s="65"/>
      <c r="O82" s="65"/>
      <c r="P82" s="65"/>
      <c r="Q82" s="66"/>
    </row>
    <row r="83" spans="1:17" ht="15.75">
      <c r="A83" s="63">
        <v>69</v>
      </c>
      <c r="B83" s="64" t="s">
        <v>839</v>
      </c>
      <c r="C83" s="64"/>
      <c r="D83" s="64" t="s">
        <v>840</v>
      </c>
      <c r="E83" s="64" t="s">
        <v>130</v>
      </c>
      <c r="F83" s="65" t="s">
        <v>205</v>
      </c>
      <c r="G83" s="65" t="str">
        <f t="shared" si="3"/>
        <v>DI69_Spare DI</v>
      </c>
      <c r="H83" s="65"/>
      <c r="I83" s="65"/>
      <c r="J83" s="64"/>
      <c r="K83" s="64"/>
      <c r="L83" s="64"/>
      <c r="M83" s="64"/>
      <c r="N83" s="65"/>
      <c r="O83" s="65"/>
      <c r="P83" s="65"/>
      <c r="Q83" s="66"/>
    </row>
    <row r="84" spans="1:17" ht="15.75">
      <c r="A84" s="63">
        <v>70</v>
      </c>
      <c r="B84" s="64" t="s">
        <v>841</v>
      </c>
      <c r="C84" s="64"/>
      <c r="D84" s="64" t="s">
        <v>842</v>
      </c>
      <c r="E84" s="64" t="s">
        <v>130</v>
      </c>
      <c r="F84" s="65" t="s">
        <v>843</v>
      </c>
      <c r="G84" s="65" t="str">
        <f t="shared" si="3"/>
        <v xml:space="preserve">DI70_Metal Detector Station Bag Entry Sensor </v>
      </c>
      <c r="H84" s="65" t="s">
        <v>776</v>
      </c>
      <c r="I84" s="65"/>
      <c r="J84" s="64"/>
      <c r="K84" s="64"/>
      <c r="L84" s="64"/>
      <c r="M84" s="64"/>
      <c r="N84" s="65"/>
      <c r="O84" s="65"/>
      <c r="P84" s="65"/>
      <c r="Q84" s="66"/>
    </row>
    <row r="85" spans="1:17" ht="15.75">
      <c r="A85" s="63">
        <v>71</v>
      </c>
      <c r="B85" s="64" t="s">
        <v>844</v>
      </c>
      <c r="C85" s="64"/>
      <c r="D85" s="64" t="s">
        <v>845</v>
      </c>
      <c r="E85" s="64" t="s">
        <v>130</v>
      </c>
      <c r="F85" s="65" t="s">
        <v>846</v>
      </c>
      <c r="G85" s="65" t="str">
        <f t="shared" si="3"/>
        <v>DI71_Metal Detector Station Bag Exit Sensor</v>
      </c>
      <c r="H85" s="65" t="s">
        <v>776</v>
      </c>
      <c r="I85" s="65"/>
      <c r="J85" s="64"/>
      <c r="K85" s="64"/>
      <c r="L85" s="64"/>
      <c r="M85" s="64"/>
      <c r="N85" s="65"/>
      <c r="O85" s="65"/>
      <c r="P85" s="65"/>
      <c r="Q85" s="66"/>
    </row>
    <row r="86" spans="1:17" ht="15.75">
      <c r="A86" s="63">
        <v>72</v>
      </c>
      <c r="B86" s="64" t="s">
        <v>847</v>
      </c>
      <c r="C86" s="64"/>
      <c r="D86" s="64" t="s">
        <v>848</v>
      </c>
      <c r="E86" s="64" t="s">
        <v>130</v>
      </c>
      <c r="F86" s="65" t="s">
        <v>849</v>
      </c>
      <c r="G86" s="65" t="str">
        <f t="shared" si="3"/>
        <v>DI72_Metal Detector FB</v>
      </c>
      <c r="H86" s="65"/>
      <c r="I86" s="65"/>
      <c r="J86" s="64"/>
      <c r="K86" s="64"/>
      <c r="L86" s="64"/>
      <c r="M86" s="64"/>
      <c r="N86" s="65"/>
      <c r="O86" s="65"/>
      <c r="P86" s="65"/>
      <c r="Q86" s="66"/>
    </row>
    <row r="87" spans="1:17" ht="15.75">
      <c r="A87" s="63">
        <v>73</v>
      </c>
      <c r="B87" s="64" t="s">
        <v>850</v>
      </c>
      <c r="C87" s="64"/>
      <c r="D87" s="64" t="s">
        <v>851</v>
      </c>
      <c r="E87" s="64" t="s">
        <v>130</v>
      </c>
      <c r="F87" s="65" t="s">
        <v>852</v>
      </c>
      <c r="G87" s="65" t="str">
        <f t="shared" si="3"/>
        <v xml:space="preserve">DI73_Rejection Station Bag Present Sensor </v>
      </c>
      <c r="H87" s="65" t="s">
        <v>776</v>
      </c>
      <c r="I87" s="65"/>
      <c r="J87" s="64"/>
      <c r="K87" s="64"/>
      <c r="L87" s="64"/>
      <c r="M87" s="64"/>
      <c r="N87" s="65"/>
      <c r="O87" s="65"/>
      <c r="P87" s="65"/>
      <c r="Q87" s="66"/>
    </row>
    <row r="88" spans="1:17" ht="15.75">
      <c r="A88" s="63">
        <v>74</v>
      </c>
      <c r="B88" s="64" t="s">
        <v>853</v>
      </c>
      <c r="C88" s="64"/>
      <c r="D88" s="64" t="s">
        <v>854</v>
      </c>
      <c r="E88" s="64" t="s">
        <v>130</v>
      </c>
      <c r="F88" s="65" t="s">
        <v>855</v>
      </c>
      <c r="G88" s="65" t="str">
        <f t="shared" si="3"/>
        <v>DI74_Rejection Station Bag Entry Sensor</v>
      </c>
      <c r="H88" s="65" t="s">
        <v>776</v>
      </c>
      <c r="I88" s="65"/>
      <c r="J88" s="64"/>
      <c r="K88" s="64"/>
      <c r="L88" s="64"/>
      <c r="M88" s="64"/>
      <c r="N88" s="65"/>
      <c r="O88" s="65"/>
      <c r="P88" s="65"/>
      <c r="Q88" s="66"/>
    </row>
    <row r="89" spans="1:17" ht="15.75">
      <c r="A89" s="63">
        <v>75</v>
      </c>
      <c r="B89" s="64" t="s">
        <v>856</v>
      </c>
      <c r="C89" s="64"/>
      <c r="D89" s="64" t="s">
        <v>857</v>
      </c>
      <c r="E89" s="64" t="s">
        <v>130</v>
      </c>
      <c r="F89" s="65" t="s">
        <v>858</v>
      </c>
      <c r="G89" s="65" t="str">
        <f t="shared" si="3"/>
        <v>DI75_Rejection Station Bag Exit Sensor</v>
      </c>
      <c r="H89" s="65" t="s">
        <v>776</v>
      </c>
      <c r="I89" s="65"/>
      <c r="J89" s="64"/>
      <c r="K89" s="64"/>
      <c r="L89" s="64"/>
      <c r="M89" s="64"/>
      <c r="N89" s="65"/>
      <c r="O89" s="65"/>
      <c r="P89" s="65"/>
      <c r="Q89" s="66"/>
    </row>
    <row r="90" spans="1:17" ht="15.75">
      <c r="A90" s="63">
        <v>76</v>
      </c>
      <c r="B90" s="64" t="s">
        <v>859</v>
      </c>
      <c r="C90" s="64"/>
      <c r="D90" s="64" t="s">
        <v>860</v>
      </c>
      <c r="E90" s="64" t="s">
        <v>130</v>
      </c>
      <c r="F90" s="65" t="s">
        <v>861</v>
      </c>
      <c r="G90" s="65" t="str">
        <f t="shared" si="3"/>
        <v>DI76_Rejection Station Pusher Cyl Forward FB</v>
      </c>
      <c r="H90" s="65" t="s">
        <v>277</v>
      </c>
      <c r="I90" s="65"/>
      <c r="J90" s="64"/>
      <c r="K90" s="64"/>
      <c r="L90" s="64"/>
      <c r="M90" s="64"/>
      <c r="N90" s="65"/>
      <c r="O90" s="65"/>
      <c r="P90" s="65"/>
      <c r="Q90" s="66"/>
    </row>
    <row r="91" spans="1:17" ht="15.75">
      <c r="A91" s="63">
        <v>77</v>
      </c>
      <c r="B91" s="64" t="s">
        <v>862</v>
      </c>
      <c r="C91" s="71"/>
      <c r="D91" s="64" t="s">
        <v>863</v>
      </c>
      <c r="E91" s="64" t="s">
        <v>130</v>
      </c>
      <c r="F91" s="65" t="s">
        <v>864</v>
      </c>
      <c r="G91" s="65" t="str">
        <f t="shared" si="3"/>
        <v>DI77_Rejection Station Pusher Cyl Reverse FB</v>
      </c>
      <c r="H91" s="65" t="s">
        <v>277</v>
      </c>
      <c r="I91" s="65"/>
      <c r="J91" s="64"/>
      <c r="K91" s="64"/>
      <c r="L91" s="64"/>
      <c r="M91" s="64"/>
      <c r="N91" s="65"/>
      <c r="O91" s="65"/>
      <c r="P91" s="65"/>
      <c r="Q91" s="66"/>
    </row>
    <row r="92" spans="1:17" ht="15.75">
      <c r="A92" s="63">
        <v>78</v>
      </c>
      <c r="B92" s="64" t="s">
        <v>865</v>
      </c>
      <c r="C92" s="64"/>
      <c r="D92" s="64" t="s">
        <v>866</v>
      </c>
      <c r="E92" s="64" t="s">
        <v>130</v>
      </c>
      <c r="F92" s="65" t="s">
        <v>205</v>
      </c>
      <c r="G92" s="65" t="str">
        <f t="shared" si="3"/>
        <v>DI78_Spare DI</v>
      </c>
      <c r="H92" s="65"/>
      <c r="I92" s="65"/>
      <c r="J92" s="64"/>
      <c r="K92" s="64"/>
      <c r="L92" s="64"/>
      <c r="M92" s="64"/>
      <c r="N92" s="65"/>
      <c r="O92" s="65"/>
      <c r="P92" s="65"/>
      <c r="Q92" s="66"/>
    </row>
    <row r="93" spans="1:17" ht="15.75">
      <c r="A93" s="63">
        <v>79</v>
      </c>
      <c r="B93" s="64" t="s">
        <v>867</v>
      </c>
      <c r="C93" s="64"/>
      <c r="D93" s="64" t="s">
        <v>868</v>
      </c>
      <c r="E93" s="64" t="s">
        <v>130</v>
      </c>
      <c r="F93" s="31" t="s">
        <v>869</v>
      </c>
      <c r="G93" s="65" t="str">
        <f t="shared" si="3"/>
        <v>DI79_Packing Zone Dust Collector Level High</v>
      </c>
      <c r="H93" s="65" t="s">
        <v>537</v>
      </c>
      <c r="I93" s="65"/>
      <c r="J93" s="64"/>
      <c r="K93" s="64"/>
      <c r="L93" s="64"/>
      <c r="M93" s="64"/>
      <c r="N93" s="65"/>
      <c r="O93" s="65"/>
      <c r="P93" s="65"/>
      <c r="Q93" s="66"/>
    </row>
    <row r="94" spans="1:17" ht="15.75">
      <c r="A94" s="63">
        <v>80</v>
      </c>
      <c r="B94" s="64" t="s">
        <v>870</v>
      </c>
      <c r="C94" s="71"/>
      <c r="D94" s="64" t="s">
        <v>871</v>
      </c>
      <c r="E94" s="64" t="s">
        <v>130</v>
      </c>
      <c r="F94" s="65" t="s">
        <v>872</v>
      </c>
      <c r="G94" s="65" t="str">
        <f t="shared" si="3"/>
        <v>DI80_Dust Collector Discharge BFV Open FB</v>
      </c>
      <c r="H94" s="65" t="s">
        <v>873</v>
      </c>
      <c r="I94" s="65"/>
      <c r="J94" s="64"/>
      <c r="K94" s="64"/>
      <c r="L94" s="64"/>
      <c r="M94" s="64"/>
      <c r="N94" s="65"/>
      <c r="O94" s="65"/>
      <c r="P94" s="65"/>
      <c r="Q94" s="66"/>
    </row>
    <row r="95" spans="1:17" ht="15.75">
      <c r="A95" s="63">
        <v>81</v>
      </c>
      <c r="B95" s="64" t="s">
        <v>874</v>
      </c>
      <c r="C95" s="71"/>
      <c r="D95" s="64" t="s">
        <v>875</v>
      </c>
      <c r="E95" s="64" t="s">
        <v>130</v>
      </c>
      <c r="F95" s="65" t="s">
        <v>872</v>
      </c>
      <c r="G95" s="65" t="str">
        <f t="shared" si="3"/>
        <v>DI81_Dust Collector Discharge BFV Open FB</v>
      </c>
      <c r="H95" s="65" t="s">
        <v>873</v>
      </c>
      <c r="I95" s="65"/>
      <c r="J95" s="64"/>
      <c r="K95" s="64"/>
      <c r="L95" s="64"/>
      <c r="M95" s="64"/>
      <c r="N95" s="65"/>
      <c r="O95" s="65"/>
      <c r="P95" s="65"/>
      <c r="Q95" s="66"/>
    </row>
    <row r="96" spans="1:17" ht="15.75">
      <c r="A96" s="63">
        <v>82</v>
      </c>
      <c r="B96" s="64" t="s">
        <v>876</v>
      </c>
      <c r="C96" s="71"/>
      <c r="D96" s="64" t="s">
        <v>877</v>
      </c>
      <c r="E96" s="64" t="s">
        <v>130</v>
      </c>
      <c r="F96" s="65" t="s">
        <v>205</v>
      </c>
      <c r="G96" s="65" t="str">
        <f t="shared" si="3"/>
        <v>DI82_Spare DI</v>
      </c>
      <c r="H96" s="65"/>
      <c r="I96" s="65"/>
      <c r="J96" s="64"/>
      <c r="K96" s="64"/>
      <c r="L96" s="64"/>
      <c r="M96" s="64"/>
      <c r="N96" s="65"/>
      <c r="O96" s="65"/>
      <c r="P96" s="65"/>
      <c r="Q96" s="66"/>
    </row>
    <row r="97" spans="1:17" ht="15.75">
      <c r="A97" s="63">
        <v>83</v>
      </c>
      <c r="B97" s="64" t="s">
        <v>878</v>
      </c>
      <c r="C97" s="71"/>
      <c r="D97" s="64" t="s">
        <v>879</v>
      </c>
      <c r="E97" s="64" t="s">
        <v>130</v>
      </c>
      <c r="F97" s="65" t="s">
        <v>205</v>
      </c>
      <c r="G97" s="65" t="str">
        <f t="shared" si="3"/>
        <v>DI83_Spare DI</v>
      </c>
      <c r="H97" s="65"/>
      <c r="I97" s="65"/>
      <c r="J97" s="64"/>
      <c r="K97" s="64"/>
      <c r="L97" s="64"/>
      <c r="M97" s="64"/>
      <c r="N97" s="65"/>
      <c r="O97" s="65"/>
      <c r="P97" s="65"/>
      <c r="Q97" s="66"/>
    </row>
    <row r="98" spans="1:17" ht="15.75">
      <c r="A98" s="63">
        <v>84</v>
      </c>
      <c r="B98" s="64" t="s">
        <v>880</v>
      </c>
      <c r="C98" s="71"/>
      <c r="D98" s="64" t="s">
        <v>881</v>
      </c>
      <c r="E98" s="64" t="s">
        <v>130</v>
      </c>
      <c r="F98" s="65" t="s">
        <v>205</v>
      </c>
      <c r="G98" s="65" t="str">
        <f t="shared" si="3"/>
        <v>DI84_Spare DI</v>
      </c>
      <c r="H98" s="65"/>
      <c r="I98" s="65"/>
      <c r="J98" s="64"/>
      <c r="K98" s="64"/>
      <c r="L98" s="64"/>
      <c r="M98" s="64"/>
      <c r="N98" s="65"/>
      <c r="O98" s="65"/>
      <c r="P98" s="65"/>
      <c r="Q98" s="66"/>
    </row>
    <row r="99" spans="1:17" ht="15.75">
      <c r="A99" s="63">
        <v>85</v>
      </c>
      <c r="B99" s="64" t="s">
        <v>882</v>
      </c>
      <c r="C99" s="71"/>
      <c r="D99" s="64" t="s">
        <v>883</v>
      </c>
      <c r="E99" s="64" t="s">
        <v>130</v>
      </c>
      <c r="F99" s="65" t="s">
        <v>205</v>
      </c>
      <c r="G99" s="65" t="str">
        <f t="shared" si="3"/>
        <v>DI85_Spare DI</v>
      </c>
      <c r="H99" s="65"/>
      <c r="I99" s="65"/>
      <c r="J99" s="64"/>
      <c r="K99" s="64"/>
      <c r="L99" s="64"/>
      <c r="M99" s="64"/>
      <c r="N99" s="65"/>
      <c r="O99" s="65"/>
      <c r="P99" s="65"/>
      <c r="Q99" s="66"/>
    </row>
    <row r="100" spans="1:17" ht="15.75">
      <c r="A100" s="63">
        <v>86</v>
      </c>
      <c r="B100" s="64" t="s">
        <v>884</v>
      </c>
      <c r="C100" s="71"/>
      <c r="D100" s="64" t="s">
        <v>885</v>
      </c>
      <c r="E100" s="64" t="s">
        <v>130</v>
      </c>
      <c r="F100" s="65" t="s">
        <v>205</v>
      </c>
      <c r="G100" s="65" t="str">
        <f t="shared" si="3"/>
        <v>DI86_Spare DI</v>
      </c>
      <c r="H100" s="65"/>
      <c r="I100" s="65"/>
      <c r="J100" s="64"/>
      <c r="K100" s="64"/>
      <c r="L100" s="64"/>
      <c r="M100" s="64"/>
      <c r="N100" s="65"/>
      <c r="O100" s="65"/>
      <c r="P100" s="65"/>
      <c r="Q100" s="66"/>
    </row>
    <row r="101" spans="1:17" ht="15.75">
      <c r="A101" s="63">
        <v>87</v>
      </c>
      <c r="B101" s="64" t="s">
        <v>886</v>
      </c>
      <c r="C101" s="71"/>
      <c r="D101" s="64" t="s">
        <v>887</v>
      </c>
      <c r="E101" s="64" t="s">
        <v>130</v>
      </c>
      <c r="F101" s="65" t="s">
        <v>205</v>
      </c>
      <c r="G101" s="65" t="str">
        <f t="shared" si="3"/>
        <v>DI87_Spare DI</v>
      </c>
      <c r="H101" s="65"/>
      <c r="I101" s="65"/>
      <c r="J101" s="64"/>
      <c r="K101" s="64"/>
      <c r="L101" s="64"/>
      <c r="M101" s="64"/>
      <c r="N101" s="65"/>
      <c r="O101" s="65"/>
      <c r="P101" s="65"/>
      <c r="Q101" s="66"/>
    </row>
    <row r="102" spans="1:17" ht="16.5" thickBot="1">
      <c r="A102" s="63">
        <v>88</v>
      </c>
      <c r="B102" s="115" t="s">
        <v>888</v>
      </c>
      <c r="C102" s="143"/>
      <c r="D102" s="115" t="s">
        <v>889</v>
      </c>
      <c r="E102" s="115" t="s">
        <v>130</v>
      </c>
      <c r="F102" s="119" t="s">
        <v>205</v>
      </c>
      <c r="G102" s="119" t="str">
        <f t="shared" si="3"/>
        <v>DI88_Spare DI</v>
      </c>
      <c r="H102" s="119"/>
      <c r="I102" s="119"/>
      <c r="J102" s="115"/>
      <c r="K102" s="115"/>
      <c r="L102" s="115"/>
      <c r="M102" s="115"/>
      <c r="N102" s="119"/>
      <c r="O102" s="119"/>
      <c r="P102" s="119"/>
      <c r="Q102" s="120"/>
    </row>
    <row r="103" spans="1:17" ht="15.75">
      <c r="A103" s="126" t="s">
        <v>116</v>
      </c>
      <c r="B103" s="127" t="s">
        <v>117</v>
      </c>
      <c r="C103" s="127" t="s">
        <v>118</v>
      </c>
      <c r="D103" s="128" t="s">
        <v>119</v>
      </c>
      <c r="E103" s="128"/>
      <c r="F103" s="129" t="s">
        <v>120</v>
      </c>
      <c r="G103" s="129" t="s">
        <v>121</v>
      </c>
      <c r="H103" s="129" t="s">
        <v>17</v>
      </c>
      <c r="I103" s="129" t="s">
        <v>122</v>
      </c>
      <c r="J103" s="127" t="s">
        <v>116</v>
      </c>
      <c r="K103" s="127" t="s">
        <v>123</v>
      </c>
      <c r="L103" s="127" t="s">
        <v>118</v>
      </c>
      <c r="M103" s="128" t="s">
        <v>119</v>
      </c>
      <c r="N103" s="130" t="s">
        <v>124</v>
      </c>
      <c r="O103" s="129" t="s">
        <v>125</v>
      </c>
      <c r="P103" s="129" t="s">
        <v>17</v>
      </c>
      <c r="Q103" s="151" t="s">
        <v>122</v>
      </c>
    </row>
    <row r="104" spans="1:17" ht="16.5" thickBot="1">
      <c r="A104" s="152"/>
      <c r="B104" s="153"/>
      <c r="C104" s="153"/>
      <c r="D104" s="154"/>
      <c r="E104" s="154"/>
      <c r="F104" s="155" t="s">
        <v>550</v>
      </c>
      <c r="G104" s="155" t="s">
        <v>121</v>
      </c>
      <c r="H104" s="155"/>
      <c r="I104" s="155"/>
      <c r="J104" s="156"/>
      <c r="K104" s="157"/>
      <c r="L104" s="157"/>
      <c r="M104" s="158"/>
      <c r="N104" s="158" t="s">
        <v>551</v>
      </c>
      <c r="O104" s="158"/>
      <c r="P104" s="158"/>
      <c r="Q104" s="159"/>
    </row>
    <row r="105" spans="1:17" ht="15.75">
      <c r="A105" s="59">
        <v>1</v>
      </c>
      <c r="B105" s="60" t="s">
        <v>552</v>
      </c>
      <c r="C105" s="60"/>
      <c r="D105" s="60" t="s">
        <v>890</v>
      </c>
      <c r="E105" s="60" t="s">
        <v>130</v>
      </c>
      <c r="F105" s="27" t="s">
        <v>891</v>
      </c>
      <c r="G105" s="61" t="str">
        <f t="shared" ref="G105:G110" si="4">CONCATENATE(B105,E105,F105)</f>
        <v>AI01_Coarse Vibro Level Sensor</v>
      </c>
      <c r="H105" s="61"/>
      <c r="I105" s="61"/>
      <c r="J105" s="60"/>
      <c r="K105" s="60"/>
      <c r="L105" s="60"/>
      <c r="M105" s="60"/>
      <c r="N105" s="61"/>
      <c r="O105" s="61"/>
      <c r="P105" s="61"/>
      <c r="Q105" s="62"/>
    </row>
    <row r="106" spans="1:17" ht="15.75">
      <c r="A106" s="63">
        <v>2</v>
      </c>
      <c r="B106" s="64" t="s">
        <v>560</v>
      </c>
      <c r="C106" s="64"/>
      <c r="D106" s="64" t="s">
        <v>892</v>
      </c>
      <c r="E106" s="64" t="s">
        <v>130</v>
      </c>
      <c r="F106" s="31" t="s">
        <v>893</v>
      </c>
      <c r="G106" s="65" t="str">
        <f t="shared" si="4"/>
        <v>AI02_Fine Vibro Level Sensor</v>
      </c>
      <c r="H106" s="65"/>
      <c r="I106" s="65"/>
      <c r="J106" s="64"/>
      <c r="K106" s="64"/>
      <c r="L106" s="64"/>
      <c r="M106" s="64"/>
      <c r="N106" s="65"/>
      <c r="O106" s="65"/>
      <c r="P106" s="65"/>
      <c r="Q106" s="66"/>
    </row>
    <row r="107" spans="1:17" ht="15.75">
      <c r="A107" s="63">
        <v>3</v>
      </c>
      <c r="B107" s="64" t="s">
        <v>566</v>
      </c>
      <c r="C107" s="64"/>
      <c r="D107" s="64" t="s">
        <v>894</v>
      </c>
      <c r="E107" s="64" t="s">
        <v>130</v>
      </c>
      <c r="F107" s="31" t="s">
        <v>895</v>
      </c>
      <c r="G107" s="65" t="str">
        <f t="shared" si="4"/>
        <v>AI03_Dust Collector Pressure Transmitter</v>
      </c>
      <c r="H107" s="65"/>
      <c r="I107" s="65"/>
      <c r="J107" s="64"/>
      <c r="K107" s="64"/>
      <c r="L107" s="64"/>
      <c r="M107" s="64"/>
      <c r="N107" s="65"/>
      <c r="O107" s="65"/>
      <c r="P107" s="65"/>
      <c r="Q107" s="66"/>
    </row>
    <row r="108" spans="1:17" ht="15.75">
      <c r="A108" s="63">
        <v>4</v>
      </c>
      <c r="B108" s="64" t="s">
        <v>569</v>
      </c>
      <c r="C108" s="64"/>
      <c r="D108" s="64" t="s">
        <v>896</v>
      </c>
      <c r="E108" s="64" t="s">
        <v>130</v>
      </c>
      <c r="F108" s="31" t="s">
        <v>895</v>
      </c>
      <c r="G108" s="65" t="str">
        <f t="shared" si="4"/>
        <v>AI04_Dust Collector Pressure Transmitter</v>
      </c>
      <c r="H108" s="65"/>
      <c r="I108" s="65"/>
      <c r="J108" s="64"/>
      <c r="K108" s="64"/>
      <c r="L108" s="64"/>
      <c r="M108" s="64"/>
      <c r="N108" s="65"/>
      <c r="O108" s="65"/>
      <c r="P108" s="65"/>
      <c r="Q108" s="66"/>
    </row>
    <row r="109" spans="1:17" ht="15.75">
      <c r="A109" s="63">
        <v>5</v>
      </c>
      <c r="B109" s="64" t="s">
        <v>572</v>
      </c>
      <c r="C109" s="110"/>
      <c r="D109" s="64" t="s">
        <v>897</v>
      </c>
      <c r="E109" s="64" t="s">
        <v>130</v>
      </c>
      <c r="F109" s="31" t="s">
        <v>593</v>
      </c>
      <c r="G109" s="65" t="str">
        <f t="shared" si="4"/>
        <v>AI05_Spare AI</v>
      </c>
      <c r="H109" s="109"/>
      <c r="I109" s="109"/>
      <c r="J109" s="110"/>
      <c r="K109" s="110"/>
      <c r="L109" s="110"/>
      <c r="M109" s="110"/>
      <c r="N109" s="111"/>
      <c r="O109" s="111"/>
      <c r="P109" s="111"/>
      <c r="Q109" s="145"/>
    </row>
    <row r="110" spans="1:17" ht="16.5" thickBot="1">
      <c r="A110" s="118">
        <v>6</v>
      </c>
      <c r="B110" s="115" t="s">
        <v>575</v>
      </c>
      <c r="C110" s="112"/>
      <c r="D110" s="115" t="s">
        <v>898</v>
      </c>
      <c r="E110" s="115" t="s">
        <v>130</v>
      </c>
      <c r="F110" s="78" t="s">
        <v>593</v>
      </c>
      <c r="G110" s="119" t="str">
        <f t="shared" si="4"/>
        <v>AI06_Spare AI</v>
      </c>
      <c r="H110" s="113"/>
      <c r="I110" s="113"/>
      <c r="J110" s="112"/>
      <c r="K110" s="112"/>
      <c r="L110" s="112"/>
      <c r="M110" s="112"/>
      <c r="N110" s="114"/>
      <c r="O110" s="114"/>
      <c r="P110" s="114"/>
      <c r="Q110" s="146"/>
    </row>
    <row r="111" spans="1:17" ht="15.75">
      <c r="A111" s="108"/>
    </row>
  </sheetData>
  <autoFilter ref="D5:Q110"/>
  <mergeCells count="4">
    <mergeCell ref="A2:Q2"/>
    <mergeCell ref="A3:Q3"/>
    <mergeCell ref="A4:I4"/>
    <mergeCell ref="J4:Q4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"/>
  <sheetViews>
    <sheetView topLeftCell="B40" zoomScaleNormal="100" workbookViewId="0">
      <selection activeCell="B40" sqref="B40"/>
    </sheetView>
  </sheetViews>
  <sheetFormatPr defaultRowHeight="15"/>
  <cols>
    <col min="25" max="25" width="19" customWidth="1"/>
  </cols>
  <sheetData>
    <row r="2" spans="2:17" ht="26.25">
      <c r="B2" s="228" t="s">
        <v>899</v>
      </c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</row>
  </sheetData>
  <mergeCells count="1">
    <mergeCell ref="B2:Q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P25"/>
  <sheetViews>
    <sheetView workbookViewId="0">
      <selection activeCell="C25" sqref="C25"/>
    </sheetView>
  </sheetViews>
  <sheetFormatPr defaultRowHeight="15"/>
  <cols>
    <col min="3" max="3" width="31.42578125" customWidth="1"/>
    <col min="4" max="4" width="9.140625" bestFit="1" customWidth="1"/>
    <col min="5" max="5" width="12.85546875" customWidth="1"/>
  </cols>
  <sheetData>
    <row r="1" spans="3:16" ht="15.75" thickBot="1">
      <c r="K1">
        <v>13</v>
      </c>
      <c r="L1">
        <v>5</v>
      </c>
      <c r="M1">
        <v>2</v>
      </c>
      <c r="N1">
        <v>1</v>
      </c>
      <c r="O1">
        <v>1</v>
      </c>
      <c r="P1">
        <v>2</v>
      </c>
    </row>
    <row r="2" spans="3:16" ht="15.75">
      <c r="C2" s="27" t="s">
        <v>48</v>
      </c>
      <c r="D2" s="26" t="s">
        <v>49</v>
      </c>
      <c r="E2" s="68" t="s">
        <v>50</v>
      </c>
      <c r="F2" s="28">
        <v>3.7</v>
      </c>
      <c r="H2" s="28">
        <v>3.7</v>
      </c>
      <c r="K2">
        <v>0.75</v>
      </c>
      <c r="L2">
        <v>1.5</v>
      </c>
      <c r="M2">
        <v>3.7</v>
      </c>
      <c r="N2">
        <v>5.5</v>
      </c>
      <c r="O2">
        <v>7.5</v>
      </c>
      <c r="P2">
        <v>22.5</v>
      </c>
    </row>
    <row r="3" spans="3:16" ht="15.75">
      <c r="C3" s="31" t="s">
        <v>51</v>
      </c>
      <c r="D3" s="30" t="s">
        <v>52</v>
      </c>
      <c r="E3" s="69" t="s">
        <v>50</v>
      </c>
      <c r="F3" s="32">
        <v>3.7</v>
      </c>
      <c r="H3" s="32">
        <v>3.7</v>
      </c>
    </row>
    <row r="4" spans="3:16" ht="15.75">
      <c r="C4" s="31" t="s">
        <v>53</v>
      </c>
      <c r="D4" s="30" t="s">
        <v>54</v>
      </c>
      <c r="E4" s="69" t="s">
        <v>50</v>
      </c>
      <c r="F4" s="86">
        <v>0.75</v>
      </c>
      <c r="H4" s="121">
        <v>0.5</v>
      </c>
    </row>
    <row r="5" spans="3:16" ht="15.75">
      <c r="C5" s="31" t="s">
        <v>55</v>
      </c>
      <c r="D5" s="30" t="s">
        <v>56</v>
      </c>
      <c r="E5" s="69" t="s">
        <v>50</v>
      </c>
      <c r="F5" s="86">
        <v>0.75</v>
      </c>
      <c r="H5" s="121">
        <v>0.5</v>
      </c>
    </row>
    <row r="6" spans="3:16" ht="15.75">
      <c r="C6" s="72" t="s">
        <v>900</v>
      </c>
      <c r="D6" s="30" t="s">
        <v>58</v>
      </c>
      <c r="E6" s="69" t="s">
        <v>50</v>
      </c>
      <c r="F6" s="86">
        <v>0.75</v>
      </c>
      <c r="H6" s="121">
        <v>0.18</v>
      </c>
    </row>
    <row r="7" spans="3:16" ht="15.75">
      <c r="C7" s="72" t="s">
        <v>901</v>
      </c>
      <c r="D7" s="30" t="s">
        <v>58</v>
      </c>
      <c r="E7" s="69" t="s">
        <v>50</v>
      </c>
      <c r="F7" s="86">
        <v>0.75</v>
      </c>
      <c r="H7" s="121">
        <v>0.18</v>
      </c>
    </row>
    <row r="8" spans="3:16" ht="16.5" thickBot="1">
      <c r="C8" s="72" t="s">
        <v>902</v>
      </c>
      <c r="D8" s="30" t="s">
        <v>58</v>
      </c>
      <c r="E8" s="69" t="s">
        <v>50</v>
      </c>
      <c r="F8" s="86">
        <v>0.75</v>
      </c>
      <c r="H8" s="121">
        <v>0.37</v>
      </c>
    </row>
    <row r="9" spans="3:16" ht="15.75">
      <c r="C9" s="27" t="s">
        <v>66</v>
      </c>
      <c r="D9" s="26" t="s">
        <v>67</v>
      </c>
      <c r="E9" s="68" t="s">
        <v>50</v>
      </c>
      <c r="F9" s="28">
        <v>22.5</v>
      </c>
      <c r="H9" s="28">
        <v>22.5</v>
      </c>
    </row>
    <row r="10" spans="3:16" ht="15.75">
      <c r="C10" s="31" t="s">
        <v>68</v>
      </c>
      <c r="D10" s="30" t="s">
        <v>69</v>
      </c>
      <c r="E10" s="69" t="s">
        <v>50</v>
      </c>
      <c r="F10" s="32">
        <v>22.5</v>
      </c>
      <c r="H10" s="32">
        <v>22.5</v>
      </c>
    </row>
    <row r="11" spans="3:16" ht="15.75">
      <c r="C11" s="31" t="s">
        <v>70</v>
      </c>
      <c r="D11" s="30" t="s">
        <v>71</v>
      </c>
      <c r="E11" s="69" t="s">
        <v>50</v>
      </c>
      <c r="F11" s="32">
        <v>5.5</v>
      </c>
      <c r="H11" s="32">
        <v>5.5</v>
      </c>
    </row>
    <row r="12" spans="3:16" ht="15.75">
      <c r="C12" s="31" t="s">
        <v>72</v>
      </c>
      <c r="D12" s="30" t="s">
        <v>73</v>
      </c>
      <c r="E12" s="69" t="s">
        <v>50</v>
      </c>
      <c r="F12" s="32">
        <v>7.5</v>
      </c>
      <c r="H12" s="32">
        <v>7.5</v>
      </c>
    </row>
    <row r="13" spans="3:16" ht="16.5" thickBot="1">
      <c r="C13" s="31" t="s">
        <v>74</v>
      </c>
      <c r="D13" s="30" t="s">
        <v>903</v>
      </c>
      <c r="E13" s="69" t="s">
        <v>50</v>
      </c>
      <c r="F13" s="32">
        <v>1.5</v>
      </c>
      <c r="H13" s="121">
        <v>1.1000000000000001</v>
      </c>
    </row>
    <row r="14" spans="3:16">
      <c r="C14" s="95" t="s">
        <v>84</v>
      </c>
      <c r="D14" s="94" t="s">
        <v>85</v>
      </c>
      <c r="E14" s="96" t="s">
        <v>50</v>
      </c>
      <c r="F14" s="97">
        <v>1.5</v>
      </c>
      <c r="H14" s="122">
        <v>1.1000000000000001</v>
      </c>
    </row>
    <row r="15" spans="3:16">
      <c r="C15" s="84" t="s">
        <v>86</v>
      </c>
      <c r="D15" s="13" t="s">
        <v>87</v>
      </c>
      <c r="E15" s="85" t="s">
        <v>50</v>
      </c>
      <c r="F15" s="86">
        <v>1.5</v>
      </c>
      <c r="H15" s="123">
        <v>1.1000000000000001</v>
      </c>
    </row>
    <row r="16" spans="3:16">
      <c r="C16" s="84" t="s">
        <v>88</v>
      </c>
      <c r="D16" s="13" t="s">
        <v>89</v>
      </c>
      <c r="E16" s="85" t="s">
        <v>50</v>
      </c>
      <c r="F16" s="86">
        <v>1.5</v>
      </c>
      <c r="H16" s="123">
        <v>1.1000000000000001</v>
      </c>
    </row>
    <row r="17" spans="3:8">
      <c r="C17" s="84" t="s">
        <v>90</v>
      </c>
      <c r="D17" s="13" t="s">
        <v>91</v>
      </c>
      <c r="E17" s="85" t="s">
        <v>50</v>
      </c>
      <c r="F17" s="86">
        <v>0.75</v>
      </c>
      <c r="H17" s="86">
        <v>0.75</v>
      </c>
    </row>
    <row r="18" spans="3:8">
      <c r="C18" s="84" t="s">
        <v>92</v>
      </c>
      <c r="D18" s="13" t="s">
        <v>93</v>
      </c>
      <c r="E18" s="85" t="s">
        <v>50</v>
      </c>
      <c r="F18" s="86">
        <v>0.75</v>
      </c>
      <c r="H18" s="86">
        <v>0.75</v>
      </c>
    </row>
    <row r="19" spans="3:8">
      <c r="C19" s="84" t="s">
        <v>94</v>
      </c>
      <c r="D19" s="13" t="s">
        <v>904</v>
      </c>
      <c r="E19" s="85" t="s">
        <v>96</v>
      </c>
      <c r="F19" s="86">
        <v>0.75</v>
      </c>
      <c r="H19" s="86">
        <v>0.75</v>
      </c>
    </row>
    <row r="20" spans="3:8">
      <c r="C20" s="84" t="s">
        <v>97</v>
      </c>
      <c r="D20" s="13" t="s">
        <v>98</v>
      </c>
      <c r="E20" s="85" t="s">
        <v>50</v>
      </c>
      <c r="F20" s="86">
        <v>0.75</v>
      </c>
      <c r="H20" s="86">
        <v>0.75</v>
      </c>
    </row>
    <row r="21" spans="3:8">
      <c r="C21" s="84" t="s">
        <v>99</v>
      </c>
      <c r="D21" s="13" t="s">
        <v>100</v>
      </c>
      <c r="E21" s="85" t="s">
        <v>50</v>
      </c>
      <c r="F21" s="86">
        <v>0.75</v>
      </c>
      <c r="H21" s="86">
        <v>0.75</v>
      </c>
    </row>
    <row r="22" spans="3:8">
      <c r="C22" s="84" t="s">
        <v>101</v>
      </c>
      <c r="D22" s="13" t="s">
        <v>102</v>
      </c>
      <c r="E22" s="85" t="s">
        <v>50</v>
      </c>
      <c r="F22" s="86">
        <v>0.75</v>
      </c>
      <c r="H22" s="86">
        <v>0.75</v>
      </c>
    </row>
    <row r="23" spans="3:8">
      <c r="C23" s="84" t="s">
        <v>103</v>
      </c>
      <c r="D23" s="13" t="s">
        <v>104</v>
      </c>
      <c r="E23" s="85" t="s">
        <v>50</v>
      </c>
      <c r="F23" s="86">
        <v>0.75</v>
      </c>
      <c r="H23" s="86">
        <v>0.75</v>
      </c>
    </row>
    <row r="24" spans="3:8">
      <c r="C24" s="84" t="s">
        <v>105</v>
      </c>
      <c r="D24" s="13" t="s">
        <v>106</v>
      </c>
      <c r="E24" s="85" t="s">
        <v>50</v>
      </c>
      <c r="F24" s="86">
        <v>0.75</v>
      </c>
      <c r="H24" s="86">
        <v>0.75</v>
      </c>
    </row>
    <row r="25" spans="3:8" ht="15.75" thickBot="1">
      <c r="C25" s="100" t="s">
        <v>107</v>
      </c>
      <c r="D25" s="99" t="s">
        <v>108</v>
      </c>
      <c r="E25" s="101" t="s">
        <v>96</v>
      </c>
      <c r="F25" s="102">
        <v>1.5</v>
      </c>
      <c r="H25" s="124">
        <v>1.1000000000000001</v>
      </c>
    </row>
  </sheetData>
  <autoFilter ref="C1:F2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d9fdea-7356-4fbc-bb4b-7ea74291fdad" xsi:nil="true"/>
    <lcf76f155ced4ddcb4097134ff3c332f xmlns="43d7aed5-1228-447a-9104-e03713e89bd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3656E899FD964293B1C0820FD77320" ma:contentTypeVersion="12" ma:contentTypeDescription="Create a new document." ma:contentTypeScope="" ma:versionID="9e8804ef322ff8d28cd8cf8145972874">
  <xsd:schema xmlns:xsd="http://www.w3.org/2001/XMLSchema" xmlns:xs="http://www.w3.org/2001/XMLSchema" xmlns:p="http://schemas.microsoft.com/office/2006/metadata/properties" xmlns:ns2="43d7aed5-1228-447a-9104-e03713e89bdb" xmlns:ns3="43d9fdea-7356-4fbc-bb4b-7ea74291fdad" targetNamespace="http://schemas.microsoft.com/office/2006/metadata/properties" ma:root="true" ma:fieldsID="35374ac8004bdee4cfb2658fb867b032" ns2:_="" ns3:_="">
    <xsd:import namespace="43d7aed5-1228-447a-9104-e03713e89bdb"/>
    <xsd:import namespace="43d9fdea-7356-4fbc-bb4b-7ea74291fda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7aed5-1228-447a-9104-e03713e89bd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d5039847-afb2-4d4d-b94c-910c979e9c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9fdea-7356-4fbc-bb4b-7ea74291fda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36c6ffb-640a-48c3-9351-39315e8e08ea}" ma:internalName="TaxCatchAll" ma:showField="CatchAllData" ma:web="43d9fdea-7356-4fbc-bb4b-7ea74291fd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4BA964-5966-405B-A3EF-80942B5EE111}">
  <ds:schemaRefs>
    <ds:schemaRef ds:uri="http://schemas.microsoft.com/office/2006/metadata/properties"/>
    <ds:schemaRef ds:uri="http://schemas.microsoft.com/office/infopath/2007/PartnerControls"/>
    <ds:schemaRef ds:uri="43d9fdea-7356-4fbc-bb4b-7ea74291fdad"/>
    <ds:schemaRef ds:uri="43d7aed5-1228-447a-9104-e03713e89bdb"/>
  </ds:schemaRefs>
</ds:datastoreItem>
</file>

<file path=customXml/itemProps2.xml><?xml version="1.0" encoding="utf-8"?>
<ds:datastoreItem xmlns:ds="http://schemas.openxmlformats.org/officeDocument/2006/customXml" ds:itemID="{32FF2286-0C7F-4433-95AF-C3251DB94B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d7aed5-1228-447a-9104-e03713e89bdb"/>
    <ds:schemaRef ds:uri="43d9fdea-7356-4fbc-bb4b-7ea74291fd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C36A84-95CC-4168-9941-D662CD2EDA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Distribution panel 1</vt:lpstr>
      <vt:lpstr>Chopper Zone Load</vt:lpstr>
      <vt:lpstr>Dryer Zone Load</vt:lpstr>
      <vt:lpstr>Packing Zone Load</vt:lpstr>
      <vt:lpstr>Chopper IO List</vt:lpstr>
      <vt:lpstr>Dryer IO List</vt:lpstr>
      <vt:lpstr>Packing IO List</vt:lpstr>
      <vt:lpstr>Network</vt:lpstr>
      <vt:lpstr>Drive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</dc:creator>
  <cp:keywords/>
  <dc:description/>
  <cp:lastModifiedBy>MI-SCADA1</cp:lastModifiedBy>
  <cp:revision/>
  <dcterms:created xsi:type="dcterms:W3CDTF">2021-01-29T04:56:09Z</dcterms:created>
  <dcterms:modified xsi:type="dcterms:W3CDTF">2026-07-02T11:28:48Z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0x010100623656E899FD964293B1C0820FD77320</vt:lpwstr>
  </property>
  <property fmtid="{D5CDD505-2E9C-101B-9397-08002B2CF9AE}" pid="3" name="MediaServiceImageTags">
    <vt:lpwstr/>
  </property>
</Properties>
</file>